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lockWindows="false"/>
  <bookViews>
    <workbookView showHorizontalScroll="true" showVerticalScroll="true" showSheetTabs="true" xWindow="0" yWindow="0" windowWidth="16384" windowHeight="8192" tabRatio="500" firstSheet="0" activeTab="0"/>
  </bookViews>
  <sheets>
    <sheet name="Resumen" sheetId="1" state="visible" r:id="rId3"/>
    <sheet name="Inputs" sheetId="2" state="visible" r:id="rId4"/>
    <sheet name="Inversion" sheetId="3" state="visible" r:id="rId5"/>
    <sheet name="Flujo_Caja" sheetId="4" state="visible" r:id="rId6"/>
    <sheet name="Escenarios" sheetId="5" state="visible" r:id="rId7"/>
    <sheet name="Sensibilidad" sheetId="6" state="visible" r:id="rId8"/>
    <sheet name="Fuentes" sheetId="7" state="visible" r:id="rId9"/>
    <sheet name="Calculos" sheetId="8" state="hidden" r:id="rId10"/>
    <sheet name="Listas" sheetId="9" state="hidden" r:id="rId11"/>
    <sheet name="Tornado" sheetId="10" state="visible" r:id="rId12"/>
    <sheet name="Valores_Quiebre" sheetId="11" state="visible" r:id="rId13"/>
    <sheet name="Monte_Carlo" sheetId="12" state="visible" r:id="rId14"/>
    <sheet name="Tasa_Descuento" sheetId="13" state="visible" r:id="rId15"/>
    <sheet name="Estructura_Capital" sheetId="14" state="visible" r:id="rId16"/>
    <sheet name="Estado_Resultados" sheetId="15" state="visible" r:id="rId17"/>
    <sheet name="Capital_Trabajo" sheetId="16" state="visible" r:id="rId18"/>
    <sheet name="Ratios" sheetId="17" state="visible" r:id="rId19"/>
    <sheet name="Respuestas" sheetId="18" state="visible" r:id="rId20"/>
    <sheet name="Auditoria" sheetId="19" state="visible" r:id="rId21"/>
  </sheets>
  <definedNames>
    <definedName function="false" hidden="false" localSheetId="4" name="_xlnm.Print_Titles" vbProcedure="false">Escenarios!$4:$4</definedName>
    <definedName function="false" hidden="false" localSheetId="3" name="_xlnm.Print_Titles" vbProcedure="false">Flujo_Caja!$4:$4</definedName>
    <definedName function="false" hidden="false" localSheetId="6" name="_xlnm.Print_Titles" vbProcedure="false">Fuentes!$4:$4</definedName>
    <definedName function="false" hidden="false" localSheetId="1" name="_xlnm.Print_Titles" vbProcedure="false">Inputs!$4:$4</definedName>
    <definedName function="false" hidden="false" name="IN_admin" vbProcedure="false">Inputs!$C$44</definedName>
    <definedName function="false" hidden="false" name="IN_ap_days" vbProcedure="false">Inputs!$C$49</definedName>
    <definedName function="false" hidden="false" name="IN_area" vbProcedure="false">Inputs!$C$37</definedName>
    <definedName function="false" hidden="false" name="IN_ar_days" vbProcedure="false">Inputs!$C$47</definedName>
    <definedName function="false" hidden="false" name="IN_base_capex" vbProcedure="false">Inputs!$C$79</definedName>
    <definedName function="false" hidden="false" name="IN_base_fixed" vbProcedure="false">Inputs!$C$78</definedName>
    <definedName function="false" hidden="false" name="IN_base_price" vbProcedure="false">Inputs!$C$75</definedName>
    <definedName function="false" hidden="false" name="IN_base_variable" vbProcedure="false">Inputs!$C$77</definedName>
    <definedName function="false" hidden="false" name="IN_base_volume" vbProcedure="false">Inputs!$C$76</definedName>
    <definedName function="false" hidden="false" name="IN_blaster" vbProcedure="false">Inputs!$C$53</definedName>
    <definedName function="false" hidden="false" name="IN_capacity_day" vbProcedure="false">Inputs!$C$51</definedName>
    <definedName function="false" hidden="false" name="IN_capital_limit" vbProcedure="false">Inputs!$C$8</definedName>
    <definedName function="false" hidden="false" name="IN_cheese_price" vbProcedure="false">Inputs!$C$36</definedName>
    <definedName function="false" hidden="false" name="IN_cheese_qty" vbProcedure="false">Inputs!$C$28</definedName>
    <definedName function="false" hidden="false" name="IN_cold_table" vbProcedure="false">Inputs!$C$57</definedName>
    <definedName function="false" hidden="false" name="IN_contingency" vbProcedure="false">Inputs!$C$66</definedName>
    <definedName function="false" hidden="false" name="IN_discount" vbProcedure="false">Inputs!$C$6</definedName>
    <definedName function="false" hidden="false" name="IN_distribution_unit" vbProcedure="false">Inputs!$C$32</definedName>
    <definedName function="false" hidden="false" name="IN_employer_factor" vbProcedure="false">Inputs!$C$41</definedName>
    <definedName function="false" hidden="false" name="IN_energy_unit" vbProcedure="false">Inputs!$C$31</definedName>
    <definedName function="false" hidden="false" name="IN_equipment_envelope" vbProcedure="false">Inputs!$C$61</definedName>
    <definedName function="false" hidden="false" name="IN_flour_price" vbProcedure="false">Inputs!$C$34</definedName>
    <definedName function="false" hidden="false" name="IN_flour_qty" vbProcedure="false">Inputs!$C$26</definedName>
    <definedName function="false" hidden="false" name="IN_freezers" vbProcedure="false">Inputs!$C$58</definedName>
    <definedName function="false" hidden="false" name="IN_habilitation" vbProcedure="false">Inputs!$C$63</definedName>
    <definedName function="false" hidden="false" name="IN_horizon" vbProcedure="false">Inputs!$C$9</definedName>
    <definedName function="false" hidden="false" name="IN_inflation" vbProcedure="false">Inputs!$C$7</definedName>
    <definedName function="false" hidden="false" name="IN_install_pct" vbProcedure="false">Inputs!$C$62</definedName>
    <definedName function="false" hidden="false" name="IN_insurance" vbProcedure="false">Inputs!$C$46</definedName>
    <definedName function="false" hidden="false" name="IN_inventory_days" vbProcedure="false">Inputs!$C$48</definedName>
    <definedName function="false" hidden="false" name="IN_life" vbProcedure="false">Inputs!$C$68</definedName>
    <definedName function="false" hidden="false" name="IN_maintenance" vbProcedure="false">Inputs!$C$43</definedName>
    <definedName function="false" hidden="false" name="IN_mixer" vbProcedure="false">Inputs!$C$54</definedName>
    <definedName function="false" hidden="false" name="IN_operating_days" vbProcedure="false">Inputs!$C$52</definedName>
    <definedName function="false" hidden="false" name="IN_opt_capex" vbProcedure="false">Inputs!$C$84</definedName>
    <definedName function="false" hidden="false" name="IN_opt_fixed" vbProcedure="false">Inputs!$C$83</definedName>
    <definedName function="false" hidden="false" name="IN_opt_price" vbProcedure="false">Inputs!$C$80</definedName>
    <definedName function="false" hidden="false" name="IN_opt_variable" vbProcedure="false">Inputs!$C$82</definedName>
    <definedName function="false" hidden="false" name="IN_opt_volume" vbProcedure="false">Inputs!$C$81</definedName>
    <definedName function="false" hidden="false" name="IN_other_unit" vbProcedure="false">Inputs!$C$29</definedName>
    <definedName function="false" hidden="false" name="IN_oven" vbProcedure="false">Inputs!$C$55</definedName>
    <definedName function="false" hidden="false" name="IN_pack_unit" vbProcedure="false">Inputs!$C$30</definedName>
    <definedName function="false" hidden="false" name="IN_payroll" vbProcedure="false">Inputs!$C$40</definedName>
    <definedName function="false" hidden="false" name="IN_payroll_total" vbProcedure="false">Inputs!$C$50</definedName>
    <definedName function="false" hidden="false" name="IN_permits" vbProcedure="false">Inputs!$C$64</definedName>
    <definedName function="false" hidden="false" name="IN_pess_capex" vbProcedure="false">Inputs!$C$74</definedName>
    <definedName function="false" hidden="false" name="IN_pess_fixed" vbProcedure="false">Inputs!$C$73</definedName>
    <definedName function="false" hidden="false" name="IN_pess_price" vbProcedure="false">Inputs!$C$70</definedName>
    <definedName function="false" hidden="false" name="IN_pess_variable" vbProcedure="false">Inputs!$C$72</definedName>
    <definedName function="false" hidden="false" name="IN_pess_volume" vbProcedure="false">Inputs!$C$71</definedName>
    <definedName function="false" hidden="false" name="IN_preop" vbProcedure="false">Inputs!$C$65</definedName>
    <definedName function="false" hidden="false" name="IN_price" vbProcedure="false">Inputs!$C$10</definedName>
    <definedName function="false" hidden="false" name="IN_ramp2" vbProcedure="false">Inputs!$C$17</definedName>
    <definedName function="false" hidden="false" name="IN_ramp3" vbProcedure="false">Inputs!$C$18</definedName>
    <definedName function="false" hidden="false" name="IN_ramp4" vbProcedure="false">Inputs!$C$19</definedName>
    <definedName function="false" hidden="false" name="IN_ramp5" vbProcedure="false">Inputs!$C$20</definedName>
    <definedName function="false" hidden="false" name="IN_rent_guarantee" vbProcedure="false">Inputs!$C$67</definedName>
    <definedName function="false" hidden="false" name="IN_rent_m2" vbProcedure="false">Inputs!$C$38</definedName>
    <definedName function="false" hidden="false" name="IN_rent_override" vbProcedure="false">Inputs!$C$39</definedName>
    <definedName function="false" hidden="false" name="IN_residual_pct" vbProcedure="false">Inputs!$C$69</definedName>
    <definedName function="false" hidden="false" name="IN_sales" vbProcedure="false">Inputs!$C$45</definedName>
    <definedName function="false" hidden="false" name="IN_sauce_price" vbProcedure="false">Inputs!$C$35</definedName>
    <definedName function="false" hidden="false" name="IN_sauce_qty" vbProcedure="false">Inputs!$C$27</definedName>
    <definedName function="false" hidden="false" name="IN_scenario" vbProcedure="false">Inputs!$C$5</definedName>
    <definedName function="false" hidden="false" name="IN_sealer" vbProcedure="false">Inputs!$C$56</definedName>
    <definedName function="false" hidden="false" name="IN_sens_price_high" vbProcedure="false">Inputs!$C$86</definedName>
    <definedName function="false" hidden="false" name="IN_sens_price_low" vbProcedure="false">Inputs!$C$85</definedName>
    <definedName function="false" hidden="false" name="IN_sens_volume_high" vbProcedure="false">Inputs!$C$88</definedName>
    <definedName function="false" hidden="false" name="IN_sens_volume_low" vbProcedure="false">Inputs!$C$87</definedName>
    <definedName function="false" hidden="false" name="IN_som_month" vbProcedure="false">Inputs!$C$11</definedName>
    <definedName function="false" hidden="false" name="IN_steel" vbProcedure="false">Inputs!$C$59</definedName>
    <definedName function="false" hidden="false" name="IN_tax1" vbProcedure="false">Inputs!$C$21</definedName>
    <definedName function="false" hidden="false" name="IN_tax2" vbProcedure="false">Inputs!$C$22</definedName>
    <definedName function="false" hidden="false" name="IN_tax3" vbProcedure="false">Inputs!$C$23</definedName>
    <definedName function="false" hidden="false" name="IN_tax4" vbProcedure="false">Inputs!$C$24</definedName>
    <definedName function="false" hidden="false" name="IN_tax5" vbProcedure="false">Inputs!$C$25</definedName>
    <definedName function="false" hidden="false" name="IN_tools" vbProcedure="false">Inputs!$C$60</definedName>
    <definedName function="false" hidden="false" name="IN_utilities" vbProcedure="false">Inputs!$C$42</definedName>
    <definedName function="false" hidden="false" name="IN_volume1" vbProcedure="false">Inputs!$C$12</definedName>
    <definedName function="false" hidden="false" name="IN_volume2" vbProcedure="false">Inputs!$C$13</definedName>
    <definedName function="false" hidden="false" name="IN_volume3" vbProcedure="false">Inputs!$C$14</definedName>
    <definedName function="false" hidden="false" name="IN_volume4" vbProcedure="false">Inputs!$C$15</definedName>
    <definedName function="false" hidden="false" name="IN_volume5" vbProcedure="false">Inputs!$C$16</definedName>
    <definedName function="false" hidden="false" name="IN_waste" vbProcedure="false">Inputs!$C$33</definedName>
    <definedName function="false" hidden="false" name="R_ACT_Capacidad_instalada_anual" vbProcedure="false">Calculos!$B$53</definedName>
    <definedName function="false" hidden="false" name="R_ACT_Equilibrio_sobre_capacidad" vbProcedure="false">Calculos!$B$55</definedName>
    <definedName function="false" hidden="false" name="R_ACT_Fondeo_maximo" vbProcedure="false">Calculos!$B$51</definedName>
    <definedName function="false" hidden="false" name="R_ACT_Indice_de_rentabilidad" vbProcedure="false">Calculos!$B$50</definedName>
    <definedName function="false" hidden="false" name="R_ACT_Inversion_inicial" vbProcedure="false">Calculos!$B$46</definedName>
    <definedName function="false" hidden="false" name="R_ACT_Payback_descontado" vbProcedure="false">Calculos!$B$49</definedName>
    <definedName function="false" hidden="false" name="R_ACT_Punto_de_equilibrio_mensual" vbProcedure="false">Calculos!$B$52</definedName>
    <definedName function="false" hidden="false" name="R_ACT_TIR" vbProcedure="false">Calculos!$B$48</definedName>
    <definedName function="false" hidden="false" name="R_ACT_Uso_de_capacidad_ano_5" vbProcedure="false">Calculos!$B$54</definedName>
    <definedName function="false" hidden="false" name="R_ACT_VAN" vbProcedure="false">Calculos!$B$47</definedName>
    <definedName function="false" hidden="false" name="R_ACT_VAN_por_peso_de_fondeo" vbProcedure="false">Calculos!$B$56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<sst xmlns="http://schemas.openxmlformats.org/spreadsheetml/2006/main" count="1753" uniqueCount="595">
  <si>
    <t xml:space="preserve">EVALUACIÓN ECONÓMICA — PIZZERÍA B2B</t>
  </si>
  <si>
    <t xml:space="preserve">Flujo libre sin deuda · CLP nominales · 5 años</t>
  </si>
  <si>
    <t xml:space="preserve">Decisión del escenario activo</t>
  </si>
  <si>
    <t xml:space="preserve">Inversión inicial</t>
  </si>
  <si>
    <t xml:space="preserve">Escenario</t>
  </si>
  <si>
    <t xml:space="preserve">Fondeo máximo</t>
  </si>
  <si>
    <t xml:space="preserve">TMAR</t>
  </si>
  <si>
    <t xml:space="preserve">VAN</t>
  </si>
  <si>
    <t xml:space="preserve">Capital disponible</t>
  </si>
  <si>
    <t xml:space="preserve">TIR</t>
  </si>
  <si>
    <t xml:space="preserve">Payback descontado</t>
  </si>
  <si>
    <t xml:space="preserve">Dictamen</t>
  </si>
  <si>
    <t xml:space="preserve">Índice de rentabilidad</t>
  </si>
  <si>
    <t xml:space="preserve">Punto equilibrio (u./mes)</t>
  </si>
  <si>
    <t xml:space="preserve">Control VAN</t>
  </si>
  <si>
    <t xml:space="preserve">Flujo convencional</t>
  </si>
  <si>
    <t xml:space="preserve">Criterios de Ingeniería Económica</t>
  </si>
  <si>
    <t xml:space="preserve">• VAN &gt; 0: el proyecto crea valor a la TMAR seleccionada.</t>
  </si>
  <si>
    <t xml:space="preserve">• TIR &gt; TMAR: la rentabilidad interna supera el rendimiento mínimo exigido.</t>
  </si>
  <si>
    <t xml:space="preserve">• VAN y TIR no se comparan entre sí: tienen unidades diferentes.</t>
  </si>
  <si>
    <t xml:space="preserve">• El flujo es económico y no incorpora deuda, intereses ni dividendos.</t>
  </si>
  <si>
    <t xml:space="preserve">Guía de lectura del modelo</t>
  </si>
  <si>
    <t xml:space="preserve">Input editable</t>
  </si>
  <si>
    <t xml:space="preserve">Azul sobre amarillo</t>
  </si>
  <si>
    <t xml:space="preserve">Fórmula</t>
  </si>
  <si>
    <t xml:space="preserve">Negro sobre claro</t>
  </si>
  <si>
    <t xml:space="preserve">Vínculo interno</t>
  </si>
  <si>
    <t xml:space="preserve">Verde en Fuentes</t>
  </si>
  <si>
    <t xml:space="preserve">Alerta</t>
  </si>
  <si>
    <t xml:space="preserve">Rojo = alerta</t>
  </si>
  <si>
    <t xml:space="preserve">INPUTS Y SUPUESTOS DEL MODELO</t>
  </si>
  <si>
    <t xml:space="preserve">Edite sólo las celdas amarillas con fuente azul.</t>
  </si>
  <si>
    <t xml:space="preserve">Categoría</t>
  </si>
  <si>
    <t xml:space="preserve">Parámetro</t>
  </si>
  <si>
    <t xml:space="preserve">Valor</t>
  </si>
  <si>
    <t xml:space="preserve">Unidad</t>
  </si>
  <si>
    <t xml:space="preserve">Confianza</t>
  </si>
  <si>
    <t xml:space="preserve">Fuente</t>
  </si>
  <si>
    <t xml:space="preserve">Nota</t>
  </si>
  <si>
    <t xml:space="preserve">Modelo</t>
  </si>
  <si>
    <t xml:space="preserve">Escenario activo</t>
  </si>
  <si>
    <t xml:space="preserve">Base</t>
  </si>
  <si>
    <t xml:space="preserve">texto</t>
  </si>
  <si>
    <t xml:space="preserve">SUPUESTO</t>
  </si>
  <si>
    <t xml:space="preserve">Selección del usuario</t>
  </si>
  <si>
    <t xml:space="preserve">Valores permitidos: Pesimista, Base u Optimista.</t>
  </si>
  <si>
    <t xml:space="preserve">TMAR nominal anual</t>
  </si>
  <si>
    <t xml:space="preserve">% anual nominal</t>
  </si>
  <si>
    <t xml:space="preserve">ESTIMADO</t>
  </si>
  <si>
    <t xml:space="preserve">https://www.cmfchile.cl/portal/estadisticas/626/w4-article-111825.html</t>
  </si>
  <si>
    <t xml:space="preserve">PISO OBSERVADO, no el costo de oportunidad del titular. CMF, Certificado 07/2026 (promedios de junio 2026, vigente desde el 14-07-2026): interés corriente de 20,46% anual para operaciones no reajustables en moneda nacional de 90 días o más entre 200 y 5.000 UF. La inversión inicial de $43.516.722 equivale a 1.065 UF, dentro de ese tramo. El capital propio es subordinado a esa deuda, luego la TMAR correcta es MAYOR. Reemplaza el stub de 15% de la etapa 10, que quedaba por DEBAJO del costo observado de deuda del mismo tamaño. Spread sobre la TPM (4,5%, Banco Central, https://www.bcentral.cl/areas/politica-monetaria): 15,96 puntos. NO se descompone riesgo por riesgo: no existe fuente pública que lo permita para una microempresa de alimentos en Temuco y repartir los puntos con decimales sería inventar. Límite: el interés corriente es un promedio de operaciones heterogéneas, expresado en forma lineal anual base 360 días, no una cotización para esta empresa. La decisión no es sensible a la tasa: el VAN se anula recién en 35,69% (la TIR); VAN@15% $44.017.948, VAN@20,46% $28.308.713. Gestión que lo cerraría: que el titular declare por escrito el retorno de su alternativa real de inversión.</t>
  </si>
  <si>
    <t xml:space="preserve">Inflación anual</t>
  </si>
  <si>
    <t xml:space="preserve">% anual desde año 2</t>
  </si>
  <si>
    <t xml:space="preserve">https://www.bcentral.cl/documents/33528/8413153/IPoM%2Bjunio%2B2026.pdf/93388589-0929-4ad6-b166-10981ca34946</t>
  </si>
  <si>
    <t xml:space="preserve">IPoM junio 2026 ubica expectativas a uno y dos años en torno a 3%. Se escala precio y costos simétricamente.</t>
  </si>
  <si>
    <t xml:space="preserve">Capital máximo disponible</t>
  </si>
  <si>
    <t xml:space="preserve">CLP</t>
  </si>
  <si>
    <t xml:space="preserve">VERIFICADO</t>
  </si>
  <si>
    <t xml:space="preserve">datos/supuestos.json#meta.restriccion_capital_clp</t>
  </si>
  <si>
    <t xml:space="preserve">Restricción declarada en el enunciado.</t>
  </si>
  <si>
    <t xml:space="preserve">Horizonte de evaluación</t>
  </si>
  <si>
    <t xml:space="preserve">años</t>
  </si>
  <si>
    <t xml:space="preserve">datos/supuestos.json#meta.horizonte_evaluacion_anios</t>
  </si>
  <si>
    <t xml:space="preserve">Horizonte fijado en el statement.</t>
  </si>
  <si>
    <t xml:space="preserve">Ventas</t>
  </si>
  <si>
    <t xml:space="preserve">Precio B2B neto base</t>
  </si>
  <si>
    <t xml:space="preserve">CLP neto/unidad en pesos base 2026</t>
  </si>
  <si>
    <t xml:space="preserve">02-competencia/index.html</t>
  </si>
  <si>
    <t xml:space="preserve">Se usa solo porque el parámetro de etapa 02 está pendiente. Está entre PF retail neto ($3.017) y foodservice publicado ($5.034); no representa disposición a pagar validada.</t>
  </si>
  <si>
    <t xml:space="preserve">SOM año 1 (0 = usar referencia)</t>
  </si>
  <si>
    <t xml:space="preserve">pizzas/mes</t>
  </si>
  <si>
    <t xml:space="preserve">PENDIENTE</t>
  </si>
  <si>
    <t xml:space="preserve">datos/supuestos.json#mercado.som_ano1_pizzas_mes</t>
  </si>
  <si>
    <t xml:space="preserve">0 = usar el volumen año 1 de referencia. La etapa 03 lo cierra en terreno.</t>
  </si>
  <si>
    <t xml:space="preserve">Volumen año 1 (referencia)</t>
  </si>
  <si>
    <t xml:space="preserve">pizzas/año</t>
  </si>
  <si>
    <t xml:space="preserve">01-mercado/index.html</t>
  </si>
  <si>
    <t xml:space="preserve">2.500 unidades/mes. Sustituir por mercado.som_ano1_pizzas_mes × 12 cuando etapa 03 lo valide.</t>
  </si>
  <si>
    <t xml:space="preserve">Volumen año 2 (referencia)</t>
  </si>
  <si>
    <t xml:space="preserve">Etapa 10</t>
  </si>
  <si>
    <t xml:space="preserve">Rampa comercial no validada.</t>
  </si>
  <si>
    <t xml:space="preserve">Volumen año 3 (referencia)</t>
  </si>
  <si>
    <t xml:space="preserve">Volumen año 4 (referencia)</t>
  </si>
  <si>
    <t xml:space="preserve">Volumen año 5 (referencia)</t>
  </si>
  <si>
    <t xml:space="preserve">Rampa año 2 (0 = derivar)</t>
  </si>
  <si>
    <t xml:space="preserve">multiplicador sobre año 1</t>
  </si>
  <si>
    <t xml:space="preserve">datos/supuestos.json#comercial.rampa_ano2_factor</t>
  </si>
  <si>
    <t xml:space="preserve">0 = derivar la forma de los volúmenes de referencia. La etapa 11 no publicó factor y no se inventa uno.</t>
  </si>
  <si>
    <t xml:space="preserve">Rampa año 3 (0 = derivar)</t>
  </si>
  <si>
    <t xml:space="preserve">datos/supuestos.json#comercial.rampa_ano3_factor</t>
  </si>
  <si>
    <t xml:space="preserve">Rampa año 4 (0 = derivar)</t>
  </si>
  <si>
    <t xml:space="preserve">datos/supuestos.json#comercial.rampa_ano4_factor</t>
  </si>
  <si>
    <t xml:space="preserve">Rampa año 5 (0 = derivar)</t>
  </si>
  <si>
    <t xml:space="preserve">datos/supuestos.json#comercial.rampa_ano5_factor</t>
  </si>
  <si>
    <t xml:space="preserve">Tributación</t>
  </si>
  <si>
    <t xml:space="preserve">Impuesto año 1</t>
  </si>
  <si>
    <t xml:space="preserve">% IDPC Pro Pyme año comercial 2027</t>
  </si>
  <si>
    <t xml:space="preserve">https://www.sii.cl/normativa_legislacion/circulares/2025/circu53.pdf</t>
  </si>
  <si>
    <t xml:space="preserve">Aplica si la empresa califica al régimen Pro Pyme General del art. 14 D N°3.</t>
  </si>
  <si>
    <t xml:space="preserve">Impuesto año 2</t>
  </si>
  <si>
    <t xml:space="preserve">% IDPC Pro Pyme año comercial 2028</t>
  </si>
  <si>
    <t xml:space="preserve">https://www.sii.cl/preguntas_frecuentes/declaracion_renta/001_140_4708.htm</t>
  </si>
  <si>
    <t xml:space="preserve">Año comercial 2027. La tabla de tasas IDPC del SII muestra 12,5% para los años comerciales 2025, 2026 y 2027 bajo el art. 14 D N°3 (rebaja de la Ley 21.755, art. vigésimo quinto). Corrige el 15% anterior, que adelantaba un año la escala.</t>
  </si>
  <si>
    <t xml:space="preserve">Impuesto año 3</t>
  </si>
  <si>
    <t xml:space="preserve">% IDPC permanente</t>
  </si>
  <si>
    <t xml:space="preserve">Año comercial 2028. Corrige el 25% anterior, que contradecía su propia nota: ésta decía que el 25% rige desde 2029, pero se aplicaba al año 3, que es 2028.</t>
  </si>
  <si>
    <t xml:space="preserve">Impuesto año 4</t>
  </si>
  <si>
    <t xml:space="preserve">Año comercial 2029: tasa permanente del régimen. Supone permanencia normativa.</t>
  </si>
  <si>
    <t xml:space="preserve">Impuesto año 5</t>
  </si>
  <si>
    <t xml:space="preserve">Año comercial 2030: tasa permanente del régimen. Supone permanencia normativa.</t>
  </si>
  <si>
    <t xml:space="preserve">Producto</t>
  </si>
  <si>
    <t xml:space="preserve">Harina por pizza</t>
  </si>
  <si>
    <t xml:space="preserve">kg/pizza familiar 30 cm</t>
  </si>
  <si>
    <t xml:space="preserve">https://eur-lex.europa.eu/legal-content/ES/TXT/HTML/?uri=CELEX:32010R0097</t>
  </si>
  <si>
    <t xml:space="preserve">Reglamento (UE) 97/2010, pliego Pizza Napoletana ETG: harina 1.800 g : agua 1 L : sal 50-55 g : levadura 3 g, total 2.855 g, de donde la harina es el 63,0% de la masa. Bollo de 240 g (techo del rango ETG 180-250 g) x 0,630 = 151 g. Se toma el techo porque un disco precocido congelado debe resistir manipulación, apilado en caja de 12 y transporte: densidad 0,34 g/cm² sobre 300 mm, más gruesa que una napoletana. Sustituye el supuesto de 0,2 kg de etapa 10, que era 32% mayor.</t>
  </si>
  <si>
    <t xml:space="preserve">Salsa por pizza</t>
  </si>
  <si>
    <t xml:space="preserve">Pliego ETG para la Margherita: 'entre 60 y 80 g de tomates pelados triturados'. Se toma el techo. CUADRA CON EL PRECIO DE 06: la salsa es tomate pelado triturado en crudo con sal y aceite, sin reducción, así que 1 kg de insumo ≈ 1 kg de salsa y el gramaje se valoriza directamente con datos/parametros-06-insumos.json#insumos.salsa_tomate_clp_kg. Si se decide cocer y reducir la salsa, este número sube por pérdida de agua.</t>
  </si>
  <si>
    <t xml:space="preserve">Mozzarella por pizza</t>
  </si>
  <si>
    <t xml:space="preserve">LÍNEA MÁS SENSIBLE DEL MODELO. Dos anclas independientes convergen: (a) pliego ETG Margherita, 'entre 80 y 100 g' de mozzarella; (b) ficha técnica comercial de minipizza congelada que declara mozzarella 20,5% en masa, que sobre 426 g da 89 g. Se toma 100 g, techo del rango ETG, porque sobre 300 mm da mayor densidad superficial que 100 g sobre los 350 mm que el ETG permite, y porque la carga de queso visible es el atributo que el canal compra. Sustituye el supuesto de 0,12 kg de etapa 10: a $8.403,36/kg el costo de queso baja de $1.008 a $840 por unidad. NINGUNA de las dos anclas es chilena ni foodservice, y el rendimiento al fundir no está probado: cerrar con panel de degustación en etapa 03 y con el piloto.</t>
  </si>
  <si>
    <t xml:space="preserve">Otros ingredientes por pizza</t>
  </si>
  <si>
    <t xml:space="preserve">CLP neto/pizza</t>
  </si>
  <si>
    <t xml:space="preserve">Aceite, levadura, sal, especias y topping; pendiente de receta y cotización.</t>
  </si>
  <si>
    <t xml:space="preserve">Envase por pizza</t>
  </si>
  <si>
    <t xml:space="preserve">06-insumos/index.html</t>
  </si>
  <si>
    <t xml:space="preserve">Fallback hasta que etapa 06 cierre film, etiqueta y caja máster.</t>
  </si>
  <si>
    <t xml:space="preserve">Energía variable por pizza</t>
  </si>
  <si>
    <t xml:space="preserve">CLP/pizza</t>
  </si>
  <si>
    <t xml:space="preserve">https://calvac.cl/venta/abatidor-10-bandejas-2/</t>
  </si>
  <si>
    <t xml:space="preserve">Bolsa de costo para horno, abatimiento y congelación. Debe reemplazarse por balance kWh/ciclo y tarifa contratada.</t>
  </si>
  <si>
    <t xml:space="preserve">Distribución variable por pizza</t>
  </si>
  <si>
    <t xml:space="preserve">Despacho consolidado local sin vehículo propio; cotizar por ruta.</t>
  </si>
  <si>
    <t xml:space="preserve">Merma de ingredientes</t>
  </si>
  <si>
    <t xml:space="preserve">%</t>
  </si>
  <si>
    <t xml:space="preserve">datos/parametros-10-financiero.json#producto.merma_pct</t>
  </si>
  <si>
    <t xml:space="preserve">PUNTOS PORCENTUALES: 5 = 5%. modelo.js lo divide por 100. NO EXISTE fuente pública chilena de merma de proceso para esta línea; se mantiene el marcador heredado de etapa 10 en vez de inventar precisión. Componentes esperados: recorte de masa al formar, residuo de dosificado de salsa y queso, y producto no conforme de arranque (el dominante). Solo lo cierra un piloto de 3 lotes con pesaje de entrada y salida.</t>
  </si>
  <si>
    <t xml:space="preserve">Insumos</t>
  </si>
  <si>
    <t xml:space="preserve">Precio harina/kg</t>
  </si>
  <si>
    <t xml:space="preserve">CLP neto/kg</t>
  </si>
  <si>
    <t xml:space="preserve">https://metafood.cl/REV10100_Harina_Pizza</t>
  </si>
  <si>
    <t xml:space="preserve">Saco de harina para pizza 25 kg publicado a $21.000 + IVA. Falta confirmar flete y disponibilidad en Temuco.</t>
  </si>
  <si>
    <t xml:space="preserve">Precio tomate/kg</t>
  </si>
  <si>
    <t xml:space="preserve">https://metafood.cl/REV10130_Tomate_Pelado_Lata_Bolsa</t>
  </si>
  <si>
    <t xml:space="preserve">Tomate pelado bolsa 5 kg a $11.919 + IVA. Es insumo para formular salsa, no salsa terminada; falta flete a Temuco.</t>
  </si>
  <si>
    <t xml:space="preserve">Precio mozzarella/kg</t>
  </si>
  <si>
    <t xml:space="preserve">https://www.mercadolibre.cl/queso-mozzarella-barra-35-kg-aprox-molfino-argentino/up/MLCU67695246</t>
  </si>
  <si>
    <t xml:space="preserve">Publicación de vendedor de Temuco a $10.000/kg IVA incluido, con factura y reparto refrigerado; normalizado /1,19. No es cotización por volumen ni demuestra suministro estable.</t>
  </si>
  <si>
    <t xml:space="preserve">Operación</t>
  </si>
  <si>
    <t xml:space="preserve">Superficie</t>
  </si>
  <si>
    <t xml:space="preserve">m²</t>
  </si>
  <si>
    <t xml:space="preserve">07-local-habilitacion/index.html</t>
  </si>
  <si>
    <t xml:space="preserve">Fallback hasta layout de etapa 04.</t>
  </si>
  <si>
    <t xml:space="preserve">Arriendo por m²/mes</t>
  </si>
  <si>
    <t xml:space="preserve">CLP/m²/mes</t>
  </si>
  <si>
    <t xml:space="preserve">https://chilepropiedades.cl/ver-publicacion/arriendo-mensual/temuco/bodega/bodega-nueva-de-1-500-m2-acceso-norte-de-tco-162267/117714745 ; https://propiedades.bmi.cl/6057</t>
  </si>
  <si>
    <t xml:space="preserve">Punto medio entre avisos industriales de 0,15 y 0,16 UF/m²/mes, convertido con UF base $40.844,79. Son bodegas mayores; no prueba precio de un local alimentario pequeño.</t>
  </si>
  <si>
    <t xml:space="preserve">Arriendo mensual directo (0 = calcular)</t>
  </si>
  <si>
    <t xml:space="preserve">CLP/mes</t>
  </si>
  <si>
    <t xml:space="preserve">Depende del metraje, gastos comunes y de encontrar un inmueble compatible con uso de suelo y habilitación sanitaria.</t>
  </si>
  <si>
    <t xml:space="preserve">Nómina bruta mensual</t>
  </si>
  <si>
    <t xml:space="preserve">CLP/mes, suma de sueldos brutos imponibles de trabajadores dependientes</t>
  </si>
  <si>
    <t xml:space="preserve">https://www.ine.gob.cl/estadisticas-por-tema/mercado-laboral/encuesta-suplementaria-de-ingresos ; https://fcje.ufro.cl/noticias/la-araucania-frente-a-la-esi-2025-desafios-para-un-desarrollo-con-mejores-ingresos/ ; datos/supuestos.json#macro.ingreso_minimo_mensual_clp</t>
  </si>
  <si>
    <t xml:space="preserve">RÉGIMEN, desde el mes 4. Dotación dependiente: 1 operario de producción a jornada completa 42 h ($700.000 bruto) + 1 operario polivalente a jornada parcial 24 h ($400.000 bruto). Cada bruto incluye sueldo base + gratificación art. 50 del Código del Trabajo (25% con tope de 4,75 IMM anuales = $219.115/mes); no volver a sumarla. ESTE VALOR NO INCLUYE EL RETIRO DE LA TITULAR: el modelo debe sumar rrhh.retiro_titular_mensual_clp SIN aplicarle macro.factor_costo_empresa. Si se prefiere una sola línea ya calculada, usar rrhh.costo_personal_mensual_regimen_clp. Los sueldos son ESTIMADOS: no existe serie pública de remuneración por cargo y comuna; se anclaron en el ingreso mínimo legal y en la ESI 2025 convertida de líquido a bruto.</t>
  </si>
  <si>
    <t xml:space="preserve">Factor costo empresa</t>
  </si>
  <si>
    <t xml:space="preserve">multiplicador sobre sueldo bruto imponible de trabajador dependiente</t>
  </si>
  <si>
    <t xml:space="preserve">https://www.spensiones.cl/portal/institucional/594/w3-propertyvalue-10906.html ; https://www.chileatiende.gob.cl/fichas/130987-aportes-del-empleador-al-sistema-de-pensiones ; https://www.isl.gob.cl/cotizaciones/ ; https://www.isl.gob.cl/wp-content/uploads/2024/08/Clasificador-Actividades-Economicas-2021.pdf ; https://www.previred.com/indicadores-previsionales/</t>
  </si>
  <si>
    <t xml:space="preserve">MULTIPLICADOR DESNUDO, se usa tal cual (1,0853 = 8,53% sobre el bruto). Suma: 3,50% cotización de cargo del empleador Ley 21.735 vigente 08-2026 a 07-2027 (incluye el SIS, que desde agosto 2026 se financia dentro del Seguro Social Previsional y ya no se cotiza aparte) + 2,40% seguro de cesantía AFC contrato indefinido + 0,93% tasa base Ley 16.744 (0,90% básica + 0,03% SANNA) + 1,70% cotización adicional DS 110 para CIIU 107500 'elaboración de comidas y platos preparados envasados, rotulados y con información nutricional'. CONDICIONES: contrato indefinido (a plazo fijo el AFC sube a 3,00% y el factor a 1,0913); empresa nueva sin evaluación de siniestralidad (DS 67 puede subir o bajar la adicional desde el tercer año); rentas muy por debajo del tope imponible de 90 UF, por lo que todas las tasas aplican íntegras. NO APLICA al retiro de la titular por sueldo empresarial (ver rrhh.retiro_titular_mensual_clp). NO incluye provisiones de feriado ni de indemnización: para eso ver rrhh.factor_costo_empresa_con_provisiones. ADVERTENCIA: el stub 1,22 de la etapa 10 sobrestima el desembolso mensual exigible en ~14 puntos porcentuales.</t>
  </si>
  <si>
    <t xml:space="preserve">Servicios fijos mensuales</t>
  </si>
  <si>
    <t xml:space="preserve">Cargo fijo de electricidad, agua, gas, internet y residuos, separado del consumo variable.</t>
  </si>
  <si>
    <t xml:space="preserve">Mantenimiento mensual</t>
  </si>
  <si>
    <t xml:space="preserve">Reserva preventiva; validar con equipos elegidos.</t>
  </si>
  <si>
    <t xml:space="preserve">Administración mensual</t>
  </si>
  <si>
    <t xml:space="preserve">Contabilidad, software básico, telefonía y gastos bancarios.</t>
  </si>
  <si>
    <t xml:space="preserve">Ventas mensuales</t>
  </si>
  <si>
    <t xml:space="preserve">Muestras, visitas y material comercial.</t>
  </si>
  <si>
    <t xml:space="preserve">Seguros mensuales</t>
  </si>
  <si>
    <t xml:space="preserve">Cotización pendiente.</t>
  </si>
  <si>
    <t xml:space="preserve">Días cuentas por cobrar</t>
  </si>
  <si>
    <t xml:space="preserve">días</t>
  </si>
  <si>
    <t xml:space="preserve">datos/parametros-02-competencia.json#precios.plazo_cobro_dias</t>
  </si>
  <si>
    <t xml:space="preserve">Fallback consistente con el modelo de negocio; debe sustituirse por práctica validada.</t>
  </si>
  <si>
    <t xml:space="preserve">Días inventario</t>
  </si>
  <si>
    <t xml:space="preserve">días de costo variable</t>
  </si>
  <si>
    <t xml:space="preserve">Materia prima más producto terminado.</t>
  </si>
  <si>
    <t xml:space="preserve">Días cuentas por pagar</t>
  </si>
  <si>
    <t xml:space="preserve">Caso conservador sin crédito de proveedores.</t>
  </si>
  <si>
    <t xml:space="preserve">Costo de personal mensual (0 = calcular)</t>
  </si>
  <si>
    <t xml:space="preserve">09-rrhh/index.html</t>
  </si>
  <si>
    <t xml:space="preserve">DERIVADO, no es un dato independiente: 1.100.000 × 1,0853 + 1.200.000. Existe sólo para evitar que el retiro de la titular se pierda si el modelo cablea una sola línea de personal. Si se usa esta clave, NO multiplicar de nuevo por macro.factor_costo_empresa. Compara contra el stub de E10 (2.200.000 × 1,22 = 2.684.000): $290.170/mes menos, $3.482.040 al año.</t>
  </si>
  <si>
    <t xml:space="preserve">Capacidad instalada (un/día, 0 = sin tope)</t>
  </si>
  <si>
    <t xml:space="preserve">unidades/día (SKU familiar 30 cm)</t>
  </si>
  <si>
    <t xml:space="preserve">https://calvac.cl/venta/abatidor-10-bandejas-2/ + https://www.supermaq.cl/abatidor/abatidor_congelador_5_bandejas.pdf</t>
  </si>
  <si>
    <t xml:space="preserve">Cuello de botella GEOMÉTRICO, no térmico. Bandeja de 610x410 mm: floor(610/300) x floor(410/300) = 2 discos de 300 mm por bandeja; 10 bandejas = 20 pizzas/ciclo = 8,5 kg, el 28% de los 30 kg declarados. Con ciclo de 240 min: 2 ciclos en jornada de 8,4 h más 1 ciclo desatendido que el equipo almacena solo al terminar = 3 ciclos/día x 20 = 60. Techo absoluto con operación 24 h: 6 ciclos = 120/día. El horno pizzero de 2 cámaras 40x40 (~24 pizzas/h) y la amasadora de 20 kg (83 bollos de 240 g) NO son limitantes. En SKU individual de 200 mm: 3x2 = 6 por bandeja = 60/ciclo = 180/día.</t>
  </si>
  <si>
    <t xml:space="preserve">Días de operación al mes</t>
  </si>
  <si>
    <t xml:space="preserve">días/mes</t>
  </si>
  <si>
    <t xml:space="preserve">https://www.dt.gob.cl/legislacion/1624/w3-article-129189.html</t>
  </si>
  <si>
    <t xml:space="preserve">CLAVE NUEVA. Jornada de 42 horas semanales desde el 26-04-2026 (Ley 21.561, confirmado por ORD. 253/21 de la Dirección del Trabajo). Turno único de 5 días x 8,4 h; 52/12 = 4,333 semanas/mes x 5 = 21,7, redondeado a 22. Es decisión de diseño operacional, no un dato: un segundo turno o sábados la cambian. Capacidad mensual = 60 x 22 = 1.320 pizzas familiares.</t>
  </si>
  <si>
    <t xml:space="preserve">Inversión</t>
  </si>
  <si>
    <t xml:space="preserve">Abatidor</t>
  </si>
  <si>
    <t xml:space="preserve">CLP neto</t>
  </si>
  <si>
    <t xml:space="preserve">10 bandejas, congelación declarada hasta 30 kg; precio publicado + IVA.</t>
  </si>
  <si>
    <t xml:space="preserve">Amasadora</t>
  </si>
  <si>
    <t xml:space="preserve">https://www.supermaq.cl/amasadoras/amasadora_20_kilos/</t>
  </si>
  <si>
    <t xml:space="preserve">Amasadora espiral 20 kg, precio internet + IVA.</t>
  </si>
  <si>
    <t xml:space="preserve">Horno</t>
  </si>
  <si>
    <t xml:space="preserve">https://www.supermaq.cl/hornos_pizza/horno_electrico_pizzero_2_camara_40x40.pdf</t>
  </si>
  <si>
    <t xml:space="preserve">Horno pizzero eléctrico dos cámaras, oferta + IVA; verificar capacidad real de precocción.</t>
  </si>
  <si>
    <t xml:space="preserve">Selladora al vacío</t>
  </si>
  <si>
    <t xml:space="preserve">https://www.supermaq.cl/pdf/camara.cl_selladora_al_vacio_300_mm_dz300.pdf</t>
  </si>
  <si>
    <t xml:space="preserve">Ficha con precio publicado; confirmar vigencia y compatibilidad con formato.</t>
  </si>
  <si>
    <t xml:space="preserve">Mesón refrigerado</t>
  </si>
  <si>
    <t xml:space="preserve">https://www.industriaminera.cl/producto/biggi-chile-sa-mesones-refrigerados/</t>
  </si>
  <si>
    <t xml:space="preserve">Mesón 120 cm publicado + IVA; confirmar vigencia.</t>
  </si>
  <si>
    <t xml:space="preserve">Congeladores</t>
  </si>
  <si>
    <t xml:space="preserve">https://gastronomicareal.cl/refrigeracion/congeladoras</t>
  </si>
  <si>
    <t xml:space="preserve">Bolsa para almacenamiento −18 °C; requiere selección por capacidad y redundancia.</t>
  </si>
  <si>
    <t xml:space="preserve">Acero, lavado y extracción</t>
  </si>
  <si>
    <t xml:space="preserve">Mesones, lavaderos, campana y elementos fijos; cotización pendiente.</t>
  </si>
  <si>
    <t xml:space="preserve">Racks, bandejas e instrumentos</t>
  </si>
  <si>
    <t xml:space="preserve">Carros, bandejas, balanzas, sondas y utensilios.</t>
  </si>
  <si>
    <t xml:space="preserve">Envolvente de equipos etapa 05 (0 = sumar líneas)</t>
  </si>
  <si>
    <t xml:space="preserve">https://calvac.cl/venta/abatidor-de-temperatura-10-bandejas-290-litros/ ; https://www.supermaq.cl/amasadoras/amasadora_20_kilos/ ; https://www.supermaq.cl/sobadoras/laminadora_de_masa_40_cm_ventus./ ; https://www.industriaminera.cl/producto/biggi-chile-sa-mesones-refrigerados/ ; https://lacasita.cl/producto/congelador-industrial-2-puertas-500-litros-maigas/ ; https://lacasita.cl/producto/campana-mural-acero-inoxidable-200x100-maigas/ ; https://gastromaq.cl/producto/carro-bandejero-15-niveles-acero-inoxidable-bandejas-60x40-cm-mod-1-gastromaq/</t>
  </si>
  <si>
    <t xml:space="preserve">Suma de precios de publicación netos, NO de cotizaciones. Canasta: abatidor 10 bandejas 290 L EN STOCK $3.898.990 + amasadora 20 kg $747.815 + horno pizzero 2 cámaras 40x40 $400.000 + laminadora 40 cm $231.000 + mesón refrigerado 120 cm $620.000 + dos congeladores 500 L $2.596.700 + campana 200x100 $546.250 + mesones 240x60 y 140x60 $352.140 + dos carros bandejeros $403.362 + lavafondo doble $219.990 + lavamanos $103.990. EXCLUYE lo mismo que el escenario austero (envasado, bandejas, balanza, sonda, registrador) más ductos de campana, empalme y obra civil, que son de E7. Reemplaza a las ocho líneas hardcodeadas de datos/parametros-10-financiero.json#inversion, que suman $8.817.795 y contienen un abatidor sin stock, un horno de cámara 40x40 cm y una selladora de vacío incompatible con el producto.</t>
  </si>
  <si>
    <t xml:space="preserve">Flete e instalación</t>
  </si>
  <si>
    <t xml:space="preserve">% sobre equipos</t>
  </si>
  <si>
    <t xml:space="preserve">Flete Santiago–Temuco, conexión y puesta en marcha.</t>
  </si>
  <si>
    <t xml:space="preserve">Habilitación sanitaria</t>
  </si>
  <si>
    <t xml:space="preserve">Riesgo principal; reemplazar por presupuesto desglosado de un local real.</t>
  </si>
  <si>
    <t xml:space="preserve">Trámites, análisis y rotulado</t>
  </si>
  <si>
    <t xml:space="preserve">08-legal-normativo/index.html</t>
  </si>
  <si>
    <t xml:space="preserve">Aranceles, laboratorio y artes; cotización pendiente.</t>
  </si>
  <si>
    <t xml:space="preserve">Preoperación</t>
  </si>
  <si>
    <t xml:space="preserve">Pruebas, capacitación, muestras y apertura.</t>
  </si>
  <si>
    <t xml:space="preserve">Contingencia</t>
  </si>
  <si>
    <t xml:space="preserve">% sobre equipos, instalación y habilitación</t>
  </si>
  <si>
    <t xml:space="preserve">https://services.austintexas.gov/edims/document.cfm?id=280770</t>
  </si>
  <si>
    <t xml:space="preserve">SE MANTIENE EN 15% Y SE DECLARA POR QUÉ. No se encontró estándar chileno citable de contingencia por clase de estimación, y AACE 18R-97 es explícita en que la contingencia se determina por análisis de riesgo del proyecto y nunca se predetermina; subirla a un número redondo sería relleno. Datos duros: con 15% la reserva es de $3.321.070, prácticamente idéntica a la holgura de $3.317.555 contra el límite de $50.000.000 — es decir, consumir la contingencia equivale a agotar la holgura. Valor crítico: 29,98%; por sobre ese punto el fondeo máximo supera $50.000.000. Gestión: presupuesto desglosado de arquitecto o constructor sobre un local candidato visitado (etapa 07).</t>
  </si>
  <si>
    <t xml:space="preserve">Garantía de arriendo</t>
  </si>
  <si>
    <t xml:space="preserve">meses</t>
  </si>
  <si>
    <t xml:space="preserve">Activo recuperable al final si no hay daños.</t>
  </si>
  <si>
    <t xml:space="preserve">Vida depreciable</t>
  </si>
  <si>
    <t xml:space="preserve">años lineales</t>
  </si>
  <si>
    <t xml:space="preserve">https://www.sii.cl/valores_y_fechas/tabla_vida_util_activo_inmovilizado.html</t>
  </si>
  <si>
    <t xml:space="preserve">Promedio ponderado por monto de las vidas útiles NORMALES que publica el SII (Resolución Exenta 43 de 2002), aplicadas al envolvente base: equipos de aire y cámaras de refrigeración 10 años (abatidor $3.898.990); refrigeradores y conservadoras 9 años (congeladores $2.596.700, mesón refrigerado $620.000); cocinas 9 años (horno $400.000); maquinaria y equipos en general 15 años (amasadora $747.815, laminadora $231.000); instalaciones en general 10 años (campana $546.250, lavado $323.980); muebles y enseres 7 años (mesones $352.140, carros $403.362). Resultado 9,90 años, redondeado a 10. ADVERTENCIA PARA E10: esta es vida útil ECONÓMICA, no el calendario tributario. La etapa 10 ya supone régimen Pro Pyme 14 D N°3 al aplicar 12,5% el año 1; bajo ese régimen la depreciación del activo inmovilizado es INSTANTÁNEA E ÍNTEGRA en el ejercicio de adquisición (Circular SII 62/2020, https://www.sii.cl/normativa_legislacion/circulares/2020/circu62.pdf). El valor 5 que hoy usa E10 no es ninguna de las dos cosas: es la vida ACELERADA de maquinaria general, que no aplica al mix ni al régimen supuesto.</t>
  </si>
  <si>
    <t xml:space="preserve">Valor residual</t>
  </si>
  <si>
    <t xml:space="preserve">% del CAPEX depreciable</t>
  </si>
  <si>
    <t xml:space="preserve">Valor de realización al año 5 antes de impuesto.</t>
  </si>
  <si>
    <t xml:space="preserve">Escenarios</t>
  </si>
  <si>
    <t xml:space="preserve">Pesimista: precio</t>
  </si>
  <si>
    <t xml:space="preserve">multiplicador sobre el precio base</t>
  </si>
  <si>
    <t xml:space="preserve">Ancla: PF Listo familiar en promoción, $3.017 netos, precio retail regional observado en Temuco. 3.017 ÷ 4.200 = 0,718. Es un escenario definido, no un pronóstico. Consecuencia: la contribución unitaria cae de $1.547 a $364 contra un costo fijo anual de $50.969.179; VAN −$147.746.510. Recalcular si cambia precios.precio_venta_b2b_familiar_clp.</t>
  </si>
  <si>
    <t xml:space="preserve">Pesimista: volumen</t>
  </si>
  <si>
    <t xml:space="preserve">multiplicador</t>
  </si>
  <si>
    <t xml:space="preserve">datos/supuestos.json#escenarios.volumen_pesimista_factor</t>
  </si>
  <si>
    <t xml:space="preserve">SIN ANCLA — la etapa 12 no publicó banda para esta variable. Entra neutro (1,00) para no fabricar un escenario. Fórmula publicada: factor = mercado.som_ano1_pizzas_mes ÷ 2.500. No se inventa un 0,80. Referencias del modelo: a 2.254 pizzas/mes el fondeo máximo alcanza $50.000.000; a 1.972 pizzas/mes el VAN se anula; el equilibrio está en 2.666 pizzas/mes, por sobre el volumen base de 2.500.</t>
  </si>
  <si>
    <t xml:space="preserve">Pesimista: costo variable</t>
  </si>
  <si>
    <t xml:space="preserve">datos/supuestos.json#escenarios.costo_variable_pesimista_factor</t>
  </si>
  <si>
    <t xml:space="preserve">SIN ANCLA — la etapa 12 no publicó banda para esta variable. Entra neutro (1,00) para no fabricar un escenario. Sin cotización industrial de mozzarella no hay ancla. Referencias del modelo sobre un costo variable base de $2.653/pizza: +3,89% lleva el fondeo máximo a $50.000.000; +11,68% anula el VAN.</t>
  </si>
  <si>
    <t xml:space="preserve">Pesimista: costo fijo</t>
  </si>
  <si>
    <t xml:space="preserve">datos/supuestos.json#escenarios.costo_fijo_pesimista_factor</t>
  </si>
  <si>
    <t xml:space="preserve">SIN ANCLA — la etapa 12 no publicó banda para esta variable. Entra neutro (1,00) para no fabricar un escenario. Sin dotación de la etapa 09 ni canon real de la etapa 07 no hay ancla. Referencias del modelo sobre un costo fijo base de $4.123.720/mes: +6,51% lleva el fondeo máximo a $50.000.000; +31,35% anula el VAN.</t>
  </si>
  <si>
    <t xml:space="preserve">Pesimista: CAPEX</t>
  </si>
  <si>
    <t xml:space="preserve">multiplicador sobre equipos y habilitación</t>
  </si>
  <si>
    <t xml:space="preserve">AACE International 18R-97 (rev. 01-03-2016), Tabla 1 — https://services.austintexas.gov/edims/document.cfm?id=280770</t>
  </si>
  <si>
    <t xml:space="preserve">El CAPEX vigente es una estimación Clase 5 (definición 0–2%, método de juicio y analogía, precios de publicación web y ninguna cotización de habilitación). AACE asigna a la Clase 5 un rango alto de +30% a +100% DESPUÉS de aplicar contingencia. Se toma el extremo MENOS alarmante de esa banda, +30%. Consecuencia: fondeo máximo $54.320.905, es decir NO CABE en $50.000.000. El valor de quiebre es apenas +13,03%, muy por dentro del rango propio de la clase de estimación.</t>
  </si>
  <si>
    <t xml:space="preserve">Base: precio</t>
  </si>
  <si>
    <t xml:space="preserve">datos/parametros-10-financiero.json#modelo.precio_b2b_familiar_base_clp</t>
  </si>
  <si>
    <t xml:space="preserve">Identidad. El nivel base sigue siendo SUPUESTO; lo verificado es el multiplicador.</t>
  </si>
  <si>
    <t xml:space="preserve">Base: volumen</t>
  </si>
  <si>
    <t xml:space="preserve">datos/parametros-10-financiero.json#modelo.volumen_ano1_unidades</t>
  </si>
  <si>
    <t xml:space="preserve">Identidad.</t>
  </si>
  <si>
    <t xml:space="preserve">Base: costo variable</t>
  </si>
  <si>
    <t xml:space="preserve">10-financiero/modelo.js</t>
  </si>
  <si>
    <t xml:space="preserve">Base: costo fijo</t>
  </si>
  <si>
    <t xml:space="preserve">Base: CAPEX</t>
  </si>
  <si>
    <t xml:space="preserve">Optimista: precio</t>
  </si>
  <si>
    <t xml:space="preserve">Ancla: pizza familiar foodservice publicada a $5.034 netos (Meta Food, Santiago). 5.034 ÷ 4.200 = 1,199. Límite: ese precio no incluye flete a Temuco ni prueba disposición a pagar del canal local.</t>
  </si>
  <si>
    <t xml:space="preserve">Optimista: volumen</t>
  </si>
  <si>
    <t xml:space="preserve">datos/supuestos.json#escenarios.volumen_optimista_factor</t>
  </si>
  <si>
    <t xml:space="preserve">SIN ANCLA — la etapa 12 no publicó banda para esta variable. Entra neutro (1,00) para no fabricar un escenario. Misma fórmula. Debe además quedar acotado por produccion.capacidad_instalada_pizzas_dia; hoy esa restricción no muerde porque la etapa 04 no la publicó.</t>
  </si>
  <si>
    <t xml:space="preserve">Optimista: costo variable</t>
  </si>
  <si>
    <t xml:space="preserve">datos/supuestos.json#escenarios.costo_variable_optimista_factor</t>
  </si>
  <si>
    <t xml:space="preserve">SIN ANCLA — la etapa 12 no publicó banda para esta variable. Entra neutro (1,00) para no fabricar un escenario. Debe salir del descuento por escalón de volumen que entregue la etapa 06, no de un supuesto.</t>
  </si>
  <si>
    <t xml:space="preserve">Optimista: costo fijo</t>
  </si>
  <si>
    <t xml:space="preserve">datos/supuestos.json#escenarios.costo_fijo_optimista_factor</t>
  </si>
  <si>
    <t xml:space="preserve">SIN ANCLA — la etapa 12 no publicó banda para esta variable. Entra neutro (1,00) para no fabricar un escenario. No se propone un factor menor a 1: el costo fijo del caso base ya asume una dotación mínima sin verificar.</t>
  </si>
  <si>
    <t xml:space="preserve">Optimista: CAPEX</t>
  </si>
  <si>
    <t xml:space="preserve">Extremo estrecho de la banda baja de Clase 5 (−20% a −50%). Consecuencia: CAPEX $22.869.227 y fondeo máximo $41.590.138. Simetría falsa: la banda de AACE es asimétrica hacia arriba y así debe leerse.</t>
  </si>
  <si>
    <t xml:space="preserve">Sensibilidad: precio bajo</t>
  </si>
  <si>
    <t xml:space="preserve">Sensibilidad: precio alto</t>
  </si>
  <si>
    <t xml:space="preserve">Sensibilidad: volumen bajo</t>
  </si>
  <si>
    <t xml:space="preserve">SIN ANCLA — eje neutro mientras la etapa 12 no publique banda.</t>
  </si>
  <si>
    <t xml:space="preserve">Sensibilidad: volumen alto</t>
  </si>
  <si>
    <t xml:space="preserve">INVERSIÓN INICIAL</t>
  </si>
  <si>
    <t xml:space="preserve">Escenario activo · montos desde Inputs y fórmulas.</t>
  </si>
  <si>
    <t xml:space="preserve">Concepto</t>
  </si>
  <si>
    <t xml:space="preserve">Monto</t>
  </si>
  <si>
    <t xml:space="preserve">Tratamiento</t>
  </si>
  <si>
    <t xml:space="preserve">Referencia</t>
  </si>
  <si>
    <t xml:space="preserve">Equipos principales</t>
  </si>
  <si>
    <t xml:space="preserve">Depreciable</t>
  </si>
  <si>
    <t xml:space="preserve">Inputs / Calculos</t>
  </si>
  <si>
    <t xml:space="preserve">Habilitación + contingencia</t>
  </si>
  <si>
    <t xml:space="preserve">Trámites y preoperación</t>
  </si>
  <si>
    <t xml:space="preserve">No depreciable en este modelo</t>
  </si>
  <si>
    <t xml:space="preserve">Recuperable al año 5</t>
  </si>
  <si>
    <t xml:space="preserve">Capital de trabajo inicial</t>
  </si>
  <si>
    <t xml:space="preserve">INVERSIÓN INICIAL TOTAL</t>
  </si>
  <si>
    <t xml:space="preserve">FLUJO DE CAJA LIBRE DEL PROYECTO</t>
  </si>
  <si>
    <t xml:space="preserve">Escenario de Inputs · CLP nominales · sin financiamiento.</t>
  </si>
  <si>
    <t xml:space="preserve">Año 0</t>
  </si>
  <si>
    <t xml:space="preserve">Año 1</t>
  </si>
  <si>
    <t xml:space="preserve">Año 2</t>
  </si>
  <si>
    <t xml:space="preserve">Año 3</t>
  </si>
  <si>
    <t xml:space="preserve">Año 4</t>
  </si>
  <si>
    <t xml:space="preserve">Año 5</t>
  </si>
  <si>
    <t xml:space="preserve">Volumen</t>
  </si>
  <si>
    <t xml:space="preserve">Precio</t>
  </si>
  <si>
    <t xml:space="preserve">Ingresos</t>
  </si>
  <si>
    <t xml:space="preserve">Costos variables</t>
  </si>
  <si>
    <t xml:space="preserve">Costos fijos</t>
  </si>
  <si>
    <t xml:space="preserve">EBITDA</t>
  </si>
  <si>
    <t xml:space="preserve">Depreciación</t>
  </si>
  <si>
    <t xml:space="preserve">EBIT</t>
  </si>
  <si>
    <t xml:space="preserve">Pérdida tributaria inicial</t>
  </si>
  <si>
    <t xml:space="preserve">Renta imponible</t>
  </si>
  <si>
    <t xml:space="preserve">Impuesto</t>
  </si>
  <si>
    <t xml:space="preserve">Pérdida tributaria final</t>
  </si>
  <si>
    <t xml:space="preserve">Capital de trabajo</t>
  </si>
  <si>
    <t xml:space="preserve">Variación capital de trabajo</t>
  </si>
  <si>
    <t xml:space="preserve">Recuperaciones terminales</t>
  </si>
  <si>
    <t xml:space="preserve">Flujo libre</t>
  </si>
  <si>
    <t xml:space="preserve">Factor descuento</t>
  </si>
  <si>
    <t xml:space="preserve">Flujo descontado</t>
  </si>
  <si>
    <t xml:space="preserve">Flujo acumulado</t>
  </si>
  <si>
    <t xml:space="preserve">Flujo descontado acumulado</t>
  </si>
  <si>
    <t xml:space="preserve">ESCENARIOS</t>
  </si>
  <si>
    <t xml:space="preserve">Cada caso recalcula impuestos, capital de trabajo y valor terminal.</t>
  </si>
  <si>
    <t xml:space="preserve">Punto equilibrio/mes</t>
  </si>
  <si>
    <t xml:space="preserve">Pesimista</t>
  </si>
  <si>
    <t xml:space="preserve">Optimista</t>
  </si>
  <si>
    <t xml:space="preserve">SENSIBILIDAD DEL VAN</t>
  </si>
  <si>
    <t xml:space="preserve">Filas: cambio de volumen · columnas: cambio de precio · costos y CAPEX en caso base.</t>
  </si>
  <si>
    <t xml:space="preserve">Volumen \ Precio</t>
  </si>
  <si>
    <t xml:space="preserve">TRAZABILIDAD Y FUENTES</t>
  </si>
  <si>
    <t xml:space="preserve">Copia documental de Inputs; los cambios se realizan en Inputs.</t>
  </si>
  <si>
    <t xml:space="preserve">Valor actual</t>
  </si>
  <si>
    <t xml:space="preserve">MOTOR DE CÁLCULO</t>
  </si>
  <si>
    <t xml:space="preserve">Bloques formulados para escenario activo, escenarios comparables y sensibilidad.</t>
  </si>
  <si>
    <t xml:space="preserve">Costo variable</t>
  </si>
  <si>
    <t xml:space="preserve">Costo fijo</t>
  </si>
  <si>
    <t xml:space="preserve">CAPEX</t>
  </si>
  <si>
    <t xml:space="preserve">Equipos</t>
  </si>
  <si>
    <t xml:space="preserve">Flete/instalación</t>
  </si>
  <si>
    <t xml:space="preserve">Arriendo mensual</t>
  </si>
  <si>
    <t xml:space="preserve">Costo variable unitario base</t>
  </si>
  <si>
    <t xml:space="preserve">Costo fijo mensual base</t>
  </si>
  <si>
    <t xml:space="preserve">CAPEX depreciable</t>
  </si>
  <si>
    <t xml:space="preserve">CAPEX total</t>
  </si>
  <si>
    <t xml:space="preserve">Depreciación anual</t>
  </si>
  <si>
    <t xml:space="preserve">Valor residual bruto</t>
  </si>
  <si>
    <t xml:space="preserve">Garantía arriendo</t>
  </si>
  <si>
    <t xml:space="preserve">Escalador</t>
  </si>
  <si>
    <t xml:space="preserve">Costo variable unitario</t>
  </si>
  <si>
    <t xml:space="preserve">Punto de equilibrio mensual</t>
  </si>
  <si>
    <t xml:space="preserve">Capacidad instalada anual</t>
  </si>
  <si>
    <t xml:space="preserve">Uso de capacidad año 5</t>
  </si>
  <si>
    <t xml:space="preserve">Equilibrio sobre capacidad</t>
  </si>
  <si>
    <t xml:space="preserve">VAN por peso de fondeo</t>
  </si>
  <si>
    <t xml:space="preserve">Escenario Pesimista</t>
  </si>
  <si>
    <t xml:space="preserve">Escenario Base</t>
  </si>
  <si>
    <t xml:space="preserve">Escenario Optimista</t>
  </si>
  <si>
    <t xml:space="preserve">Sensibilidad V1 P1</t>
  </si>
  <si>
    <t xml:space="preserve">Sensibilidad V1 P2</t>
  </si>
  <si>
    <t xml:space="preserve">Sensibilidad V1 P3</t>
  </si>
  <si>
    <t xml:space="preserve">Sensibilidad V2 P1</t>
  </si>
  <si>
    <t xml:space="preserve">Sensibilidad V2 P2</t>
  </si>
  <si>
    <t xml:space="preserve">Sensibilidad V2 P3</t>
  </si>
  <si>
    <t xml:space="preserve">Sensibilidad V3 P1</t>
  </si>
  <si>
    <t xml:space="preserve">Sensibilidad V3 P2</t>
  </si>
  <si>
    <t xml:space="preserve">Sensibilidad V3 P3</t>
  </si>
  <si>
    <t xml:space="preserve">Origen de las validaciones del libro. No editar.</t>
  </si>
  <si>
    <t xml:space="preserve">TORNADO · SENSIBILIDAD DE UNA VÍA</t>
  </si>
  <si>
    <t xml:space="preserve">Cada parámetro movido solo, entre su banda declarada. Ordenado por impacto en el VAN.</t>
  </si>
  <si>
    <t xml:space="preserve">Estado de esta hoja</t>
  </si>
  <si>
    <t xml:space="preserve">Calculado el 2026-08-06 18:18 sobre VAN base -91,764,381 CLP.</t>
  </si>
  <si>
    <t xml:space="preserve">Bajo</t>
  </si>
  <si>
    <t xml:space="preserve">Alto</t>
  </si>
  <si>
    <t xml:space="preserve">VAN bajo</t>
  </si>
  <si>
    <t xml:space="preserve">VAN alto</t>
  </si>
  <si>
    <t xml:space="preserve">Δ VAN</t>
  </si>
  <si>
    <t xml:space="preserve">Δ Fondeo</t>
  </si>
  <si>
    <t xml:space="preserve">Impacto</t>
  </si>
  <si>
    <t xml:space="preserve">Origen de la banda</t>
  </si>
  <si>
    <t xml:space="preserve">Precio B2B familiar</t>
  </si>
  <si>
    <t xml:space="preserve">██████████████████████</t>
  </si>
  <si>
    <t xml:space="preserve">escenarios.precio_*_factor · PF Listo $3.017 / Meta Food $5.034</t>
  </si>
  <si>
    <t xml:space="preserve">Costo de personal</t>
  </si>
  <si>
    <t xml:space="preserve">████████</t>
  </si>
  <si>
    <t xml:space="preserve">swing exploratorio ±20% — sin banda publicada</t>
  </si>
  <si>
    <t xml:space="preserve">Capacidad instalada</t>
  </si>
  <si>
    <t xml:space="preserve">███████</t>
  </si>
  <si>
    <t xml:space="preserve">Días de operación</t>
  </si>
  <si>
    <t xml:space="preserve">Gramaje mozzarella</t>
  </si>
  <si>
    <t xml:space="preserve">████</t>
  </si>
  <si>
    <t xml:space="preserve">Mozzarella $/kg</t>
  </si>
  <si>
    <t xml:space="preserve">███</t>
  </si>
  <si>
    <t xml:space="preserve">Otros ingredientes</t>
  </si>
  <si>
    <t xml:space="preserve">██</t>
  </si>
  <si>
    <t xml:space="preserve">█</t>
  </si>
  <si>
    <t xml:space="preserve">AACE 18R-97 Clase 5 · escenarios.capex_*_factor</t>
  </si>
  <si>
    <t xml:space="preserve">Envolvente de equipos</t>
  </si>
  <si>
    <t xml:space="preserve">Envase por unidad</t>
  </si>
  <si>
    <t xml:space="preserve">Distribución por unidad</t>
  </si>
  <si>
    <t xml:space="preserve">Plazo de cobro</t>
  </si>
  <si>
    <t xml:space="preserve">statement §8 · rango declarado 30–60 días</t>
  </si>
  <si>
    <t xml:space="preserve">Merma</t>
  </si>
  <si>
    <t xml:space="preserve">VALORES DE QUIEBRE</t>
  </si>
  <si>
    <t xml:space="preserve">Valor de cada parámetro que anula el VAN y valor que lleva el fondeo máximo al límite de capital.</t>
  </si>
  <si>
    <t xml:space="preserve">El fondeo máximo actual ($125,493,563) supera el límite de $50,000,000. La columna «fondeo = límite» ya no marca un punto de quiebre sino la MEJORA REQUERIDA para volver a caber.</t>
  </si>
  <si>
    <t xml:space="preserve">VAN = 0</t>
  </si>
  <si>
    <t xml:space="preserve">Variación exigida</t>
  </si>
  <si>
    <t xml:space="preserve">Fondeo = límite</t>
  </si>
  <si>
    <t xml:space="preserve">SIN QUIEBRE EN EL RANGO</t>
  </si>
  <si>
    <t xml:space="preserve">—</t>
  </si>
  <si>
    <t xml:space="preserve">MONTE CARLO · PERFIL DE RIESGO</t>
  </si>
  <si>
    <t xml:space="preserve">Distribuciones triangulares sobre los parámetros CON banda publicada. Semilla fija.</t>
  </si>
  <si>
    <t xml:space="preserve">PERFIL ILUSTRATIVO DE RIESGO. Las distribuciones son SUPUESTO; sólo sus anclas están citadas. No es evidencia y no altera ninguna conclusión del dossier. Los parámetros sin banda publicada quedan FUERA de la simulación: inventarles una distribución sería exactamente la cifra plausible que la regla 7 prohíbe.</t>
  </si>
  <si>
    <t xml:space="preserve">Distribuciones simuladas</t>
  </si>
  <si>
    <t xml:space="preserve">Mínimo</t>
  </si>
  <si>
    <t xml:space="preserve">Moda</t>
  </si>
  <si>
    <t xml:space="preserve">Máximo</t>
  </si>
  <si>
    <t xml:space="preserve">Ancla citada</t>
  </si>
  <si>
    <t xml:space="preserve">Resultados</t>
  </si>
  <si>
    <t xml:space="preserve">Iteraciones</t>
  </si>
  <si>
    <t xml:space="preserve">Semilla</t>
  </si>
  <si>
    <t xml:space="preserve">VAN P10</t>
  </si>
  <si>
    <t xml:space="preserve">VAN P50 (mediana)</t>
  </si>
  <si>
    <t xml:space="preserve">VAN P90</t>
  </si>
  <si>
    <t xml:space="preserve">VAN medio</t>
  </si>
  <si>
    <t xml:space="preserve">P(VAN &gt; 0)</t>
  </si>
  <si>
    <t xml:space="preserve">P(fondeo máximo ≤ límite de capital)</t>
  </si>
  <si>
    <t xml:space="preserve">Distribución del VAN</t>
  </si>
  <si>
    <t xml:space="preserve">Desde</t>
  </si>
  <si>
    <t xml:space="preserve">Hasta</t>
  </si>
  <si>
    <t xml:space="preserve">Casos</t>
  </si>
  <si>
    <t xml:space="preserve">Frecuencia</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</si>
  <si>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</si>
  <si>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</si>
  <si>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</si>
  <si>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</si>
  <si>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</si>
  <si>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</si>
  <si>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</si>
  <si>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</si>
  <si>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</si>
  <si>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</si>
  <si>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</si>
  <si>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</si>
  <si>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</si>
  <si>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TASA DE DESCUENTO</t>
  </si>
  <si>
    <t xml:space="preserve">Construcción de la TMAR y perfil del VAN frente a la tasa.</t>
  </si>
  <si>
    <t xml:space="preserve">Construcción declarada</t>
  </si>
  <si>
    <t xml:space="preserve">Componente</t>
  </si>
  <si>
    <t xml:space="preserve">TPM Banco Central</t>
  </si>
  <si>
    <t xml:space="preserve">Tasa de política monetaria vigente a la fecha base.</t>
  </si>
  <si>
    <t xml:space="preserve">Interés corriente CMF 200–5.000 UF ≥90 días</t>
  </si>
  <si>
    <t xml:space="preserve">CMF Certificado 07/2026. Es lo que los bancos cobraron por dinero del tamaño y plazo del proyecto.</t>
  </si>
  <si>
    <t xml:space="preserve">Spread sobre TPM</t>
  </si>
  <si>
    <t xml:space="preserve">NO SE DESCOMPONE riesgo por riesgo: no hay fuente pública que lo permita. Se declara el spread observado, no una construcción inventada.</t>
  </si>
  <si>
    <t xml:space="preserve">TMAR usada por el modelo</t>
  </si>
  <si>
    <t xml:space="preserve">Piso observado. El capital propio es subordinado a esa deuda, así que la TMAR correcta es mayor; usar el piso es conservador respecto del rechazo.</t>
  </si>
  <si>
    <t xml:space="preserve">Perfil del VAN frente a la tasa (vivo)</t>
  </si>
  <si>
    <t xml:space="preserve">Tasa</t>
  </si>
  <si>
    <t xml:space="preserve">Magnitud</t>
  </si>
  <si>
    <t xml:space="preserve">ESTRUCTURA DE CAPITAL</t>
  </si>
  <si>
    <t xml:space="preserve">Configuraciones comparadas contra dos techos de capital: $30.000.000 y $50.000.000.</t>
  </si>
  <si>
    <t xml:space="preserve">Configuración</t>
  </si>
  <si>
    <t xml:space="preserve">Holgura vs $30M</t>
  </si>
  <si>
    <t xml:space="preserve">Holgura vs $50M</t>
  </si>
  <si>
    <t xml:space="preserve">Lectura</t>
  </si>
  <si>
    <t xml:space="preserve">Planta propia · $15M + $15M, sin deuda</t>
  </si>
  <si>
    <t xml:space="preserve">Los socios aportan $30M. La brecha contra el fondeo exigido no la cierra ninguna estructura.</t>
  </si>
  <si>
    <t xml:space="preserve">Planta propia · $30M + crédito de consumo</t>
  </si>
  <si>
    <t xml:space="preserve">La deuda no cambia el fondeo requerido: cambia quién lo aporta y añade costo financiero y riesgo personal.</t>
  </si>
  <si>
    <t xml:space="preserve">Maquila · sin planta propia, tarifa $0</t>
  </si>
  <si>
    <t xml:space="preserve">Cota superior: falta la tarifa del maquilador. Sin habilitación ni equipos propios y sin tope de capacidad propia.</t>
  </si>
  <si>
    <t xml:space="preserve">Tarifa máxima de maquila admisible</t>
  </si>
  <si>
    <t xml:space="preserve">La tarifa del maquilador no es dato público, así que el modelo no la supone: acota cuánto se puede pagar. Por bisección sobre el fondeo máximo, con los volúmenes del caso base.</t>
  </si>
  <si>
    <t xml:space="preserve">Techo de capital</t>
  </si>
  <si>
    <t xml:space="preserve">Tarifa máxima CLP/pizza</t>
  </si>
  <si>
    <t xml:space="preserve">$30.000.000</t>
  </si>
  <si>
    <t xml:space="preserve">$50.000.000</t>
  </si>
  <si>
    <t xml:space="preserve">Crédito de consumo · tramo CMF 200 a 5.000 UF, 90 días o más</t>
  </si>
  <si>
    <t xml:space="preserve">En el crédito de consumo el deudor es la persona natural: la SpA no es parte del contrato, así que su responsabilidad limitada no llega a activarse y la deuda sobrevive a la empresa. La cuota no depende de que el negocio funcione.</t>
  </si>
  <si>
    <t xml:space="preserve">Tasa anual</t>
  </si>
  <si>
    <t xml:space="preserve">Plazo</t>
  </si>
  <si>
    <t xml:space="preserve">Cuota mensual</t>
  </si>
  <si>
    <t xml:space="preserve">Total pagado</t>
  </si>
  <si>
    <t xml:space="preserve">Costo financiero</t>
  </si>
  <si>
    <t xml:space="preserve">% de la brecha que cubre</t>
  </si>
  <si>
    <t xml:space="preserve">Corriente 20,46%</t>
  </si>
  <si>
    <t xml:space="preserve">Máxima convencional 30,69%</t>
  </si>
  <si>
    <t xml:space="preserve">Brecha a cubrir con planta propia contra el techo de $30.000.000: $95.493.563. Ningún crédito de consumo de este tamaño la cierra.</t>
  </si>
  <si>
    <t xml:space="preserve">ESTADO DE RESULTADOS</t>
  </si>
  <si>
    <t xml:space="preserve">Por año, con margen de contribución y porcentaje sobre ingresos.</t>
  </si>
  <si>
    <t xml:space="preserve">% ingresos año 1</t>
  </si>
  <si>
    <t xml:space="preserve">Volumen (unidades)</t>
  </si>
  <si>
    <t xml:space="preserve">Margen de contribución</t>
  </si>
  <si>
    <t xml:space="preserve">Resultado neto</t>
  </si>
  <si>
    <t xml:space="preserve">CAPITAL DE TRABAJO</t>
  </si>
  <si>
    <t xml:space="preserve">Días de cobro, inventario y pago, y por qué un modelo anual subestima el peak.</t>
  </si>
  <si>
    <t xml:space="preserve">Cuentas por cobrar</t>
  </si>
  <si>
    <t xml:space="preserve">Inventario</t>
  </si>
  <si>
    <t xml:space="preserve">Cuentas por pagar</t>
  </si>
  <si>
    <t xml:space="preserve">Capital de trabajo neto</t>
  </si>
  <si>
    <t xml:space="preserve">Variación del período</t>
  </si>
  <si>
    <t xml:space="preserve">Indicadores de ciclo</t>
  </si>
  <si>
    <t xml:space="preserve">DSO · días de cobro</t>
  </si>
  <si>
    <t xml:space="preserve">DIO · días de inventario</t>
  </si>
  <si>
    <t xml:space="preserve">DPO · días de pago</t>
  </si>
  <si>
    <t xml:space="preserve">Ciclo de conversión de caja</t>
  </si>
  <si>
    <t xml:space="preserve">ADVERTENCIA. Este modelo es anual y no tiene perfil mensual de caja, así que el fondeo máximo que reporta IGNORA el valle intra-anual. Con DPO en cero se supone además que ningún proveedor da crédito, supuesto conservador que nadie ha verificado. La etapa 11 publicó un ratio peak/valle de 2,1 para pernoctaciones INE, pero es un proxy turístico y no una serie de demanda de pizza: usarlo como índice de estacionalidad sería inventar. El perfil mensual queda pendiente.</t>
  </si>
  <si>
    <t xml:space="preserve">RATIOS Y ECONOMÍA UNITARIA</t>
  </si>
  <si>
    <t xml:space="preserve">Por qué el proyecto no cierra, en indicadores.</t>
  </si>
  <si>
    <t xml:space="preserve">Indicador</t>
  </si>
  <si>
    <t xml:space="preserve">Precio neto por pizza</t>
  </si>
  <si>
    <t xml:space="preserve">Año 1, con escalador de inflación.</t>
  </si>
  <si>
    <t xml:space="preserve">Costo variable por pizza</t>
  </si>
  <si>
    <t xml:space="preserve">Insumos con merma, envase, energía y distribución.</t>
  </si>
  <si>
    <t xml:space="preserve">Margen de contribución por pizza</t>
  </si>
  <si>
    <t xml:space="preserve">Lo que deja cada pizza para pagar costos fijos.</t>
  </si>
  <si>
    <t xml:space="preserve">Margen de contribución %</t>
  </si>
  <si>
    <t xml:space="preserve">Sobre precio de venta.</t>
  </si>
  <si>
    <t xml:space="preserve">Costo fijo mensual</t>
  </si>
  <si>
    <t xml:space="preserve">Arriendo, personal y gastos de estructura.</t>
  </si>
  <si>
    <t xml:space="preserve">Unidades que igualan contribución y costo fijo.</t>
  </si>
  <si>
    <t xml:space="preserve">Capacidad instalada mensual</t>
  </si>
  <si>
    <t xml:space="preserve">Etapa 04, desde la geometría del abatidor.</t>
  </si>
  <si>
    <t xml:space="preserve">Por sobre 100% el equilibrio es inalcanzable.</t>
  </si>
  <si>
    <t xml:space="preserve">Apalancamiento operativo (DOL)</t>
  </si>
  <si>
    <t xml:space="preserve">No definido</t>
  </si>
  <si>
    <t xml:space="preserve">Contribución total sobre EBITDA; no definido con EBITDA negativo.</t>
  </si>
  <si>
    <t xml:space="preserve">Margen de seguridad</t>
  </si>
  <si>
    <t xml:space="preserve">No definido: la operación no alcanza el equilibrio.</t>
  </si>
  <si>
    <t xml:space="preserve">VAN por peso de fondeo máximo</t>
  </si>
  <si>
    <t xml:space="preserve">Índice correcto bajo racionamiento de capital: el denominador es la caja que hay que poner, no la inversión inicial.</t>
  </si>
  <si>
    <t xml:space="preserve">Criterio &gt; 1. Usa la inversión inicial como denominador.</t>
  </si>
  <si>
    <t xml:space="preserve">LAS SEIS PREGUNTAS DEL STATEMENT</t>
  </si>
  <si>
    <t xml:space="preserve">Respuesta actual de cada una, la etapa responsable y qué falta para cerrarla.</t>
  </si>
  <si>
    <t xml:space="preserve">#</t>
  </si>
  <si>
    <t xml:space="preserve">Pregunta</t>
  </si>
  <si>
    <t xml:space="preserve">Respuesta</t>
  </si>
  <si>
    <t xml:space="preserve">Etapa</t>
  </si>
  <si>
    <t xml:space="preserve">Qué falta</t>
  </si>
  <si>
    <t xml:space="preserve">¿Cuántos establecimientos HORECA hay y cuánto consumen?</t>
  </si>
  <si>
    <t xml:space="preserve">1.187 en Temuco y 1.588 en el anillo 1. El consumo por establecimiento sigue sin medir.</t>
  </si>
  <si>
    <t xml:space="preserve">01 · 03</t>
  </si>
  <si>
    <t xml:space="preserve">Entrevistas en terreno con el instrumento de la etapa 03.</t>
  </si>
  <si>
    <t xml:space="preserve">¿A qué precio compran hoy y cuánto pagarían por la alternativa local?</t>
  </si>
  <si>
    <t xml:space="preserve">Referencias de retail y foodservice levantadas. La disposición a pagar no está medida.</t>
  </si>
  <si>
    <t xml:space="preserve">02 · 03</t>
  </si>
  <si>
    <t xml:space="preserve">Prueba monádica de tres precios, etapa 03.</t>
  </si>
  <si>
    <t xml:space="preserve">¿Cuál es el CAPEX mínimo con cotizaciones reales?</t>
  </si>
  <si>
    <t xml:space="preserve">$29.684.013 con precios de publicación. Cinco de las ocho líneas heredadas no resistieron la auditoría.</t>
  </si>
  <si>
    <t xml:space="preserve">05 · 07</t>
  </si>
  <si>
    <t xml:space="preserve">Cotizaciones formales; el escenario de equipo usado no pudo construirse por ausencia de mercado publicado.</t>
  </si>
  <si>
    <t xml:space="preserve">¿Cuánto capital de trabajo exige el ciclo de cobro?</t>
  </si>
  <si>
    <t xml:space="preserve">$7.263.577 inicial, con plazo de cobro supuesto de 30 días.</t>
  </si>
  <si>
    <t xml:space="preserve">10</t>
  </si>
  <si>
    <t xml:space="preserve">Plazo de cobro real por segmento, y un perfil mensual que capture el valle intra-anual.</t>
  </si>
  <si>
    <t xml:space="preserve">¿Cuál es el punto de equilibrio y qué porcentaje de la capacidad representa?</t>
  </si>
  <si>
    <t xml:space="preserve">2.170 pizzas/mes contra una capacidad de 1.320/mes: 164% de la capacidad instalada.</t>
  </si>
  <si>
    <t xml:space="preserve">04 · 10</t>
  </si>
  <si>
    <t xml:space="preserve">Medir el ciclo real de abatimiento con sonda al centro térmico; los 240 min son un techo prestado.</t>
  </si>
  <si>
    <t xml:space="preserve">¿Cabe en $50 millones? Si no, ¿cuál es el mínimo real y qué caminos existen?</t>
  </si>
  <si>
    <t xml:space="preserve">No con planta propia: exige $125.493.563 de fondeo. Sí por maquila, mientras la tarifa no supere $810/pizza ($560 si el techo es $30 millones).</t>
  </si>
  <si>
    <t xml:space="preserve">10 · 12 · 13</t>
  </si>
  <si>
    <t xml:space="preserve">Cotizar la maquila. Es el único camino que cabe en el capital disponible.</t>
  </si>
  <si>
    <t xml:space="preserve">AUDITORÍA DE LA CONSTRUCCIÓN</t>
  </si>
  <si>
    <t xml:space="preserve">Capacidades logradas o degradadas, y controles internos del modelo.</t>
  </si>
  <si>
    <t xml:space="preserve">Capacidad</t>
  </si>
  <si>
    <t xml:space="preserve">Estado</t>
  </si>
  <si>
    <t xml:space="preserve">Formato condicional</t>
  </si>
  <si>
    <t xml:space="preserve">LOGRADO</t>
  </si>
  <si>
    <t xml:space="preserve">Validacion</t>
  </si>
  <si>
    <t xml:space="preserve">Autofiltro</t>
  </si>
  <si>
    <t xml:space="preserve">sólo ODS (el exportador xlsx no lo emite)</t>
  </si>
  <si>
    <t xml:space="preserve">Rangos con nombre</t>
  </si>
  <si>
    <t xml:space="preserve">Titulos impresion</t>
  </si>
  <si>
    <t xml:space="preserve">Graficos</t>
  </si>
  <si>
    <t xml:space="preserve">Proteccion</t>
  </si>
  <si>
    <t xml:space="preserve">Sello de construcción</t>
  </si>
  <si>
    <t xml:space="preserve">Generado</t>
  </si>
  <si>
    <t xml:space="preserve">2026-08-06 18:18</t>
  </si>
  <si>
    <t xml:space="preserve">TIR calculable</t>
  </si>
</sst>
</file>

<file path=xl/styles.xml><?xml version="1.0" encoding="utf-8"?>
<styleSheet xmlns="http://schemas.openxmlformats.org/spreadsheetml/2006/main">
  <numFmts count="12">
    <numFmt numFmtId="164" formatCode="General"/>
    <numFmt numFmtId="165" formatCode="[$$-es-CL]\ #,##0;[RED]\([$ $-es-CL]\ #,##0\);\-"/>
    <numFmt numFmtId="166" formatCode="[$-340A]0.0%"/>
    <numFmt numFmtId="167" formatCode="[$-340A]0.00%"/>
    <numFmt numFmtId="168" formatCode="[$-340A]#,##0"/>
    <numFmt numFmtId="169" formatCode="[$-340A]#,##0.00"/>
    <numFmt numFmtId="170" formatCode="[$-340A]#,##0.00\×"/>
    <numFmt numFmtId="171" formatCode="[$-340A]#,##0.0&quot; años&quot;"/>
    <numFmt numFmtId="172" formatCode="[$-340A]#,##0&quot; d&quot;"/>
    <numFmt numFmtId="173" formatCode="#,##0"/>
    <numFmt numFmtId="174" formatCode="#,##0.00"/>
    <numFmt numFmtId="175" formatCode="@"/>
  </numFmts>
  <fonts count="23">
    <font>
      <sz val="10"/>
      <color rgb="FF1F2937"/>
      <name val="Arial"/>
      <family val="2"/>
    </font>
    <font>
      <sz val="10"/>
      <name val="Arial"/>
      <family val="0"/>
    </font>
    <font>
      <sz val="10"/>
      <name val="Arial"/>
      <family val="0"/>
    </font>
    <font>
      <sz val="10"/>
      <name val="Arial"/>
      <family val="0"/>
    </font>
    <font>
      <b val="true"/>
      <sz val="18"/>
      <color rgb="FF17324D"/>
      <name val="Arial"/>
      <family val="2"/>
    </font>
    <font>
      <i val="true"/>
      <sz val="10"/>
      <color rgb="FF1F2937"/>
      <name val="Arial"/>
      <family val="2"/>
    </font>
    <font>
      <b val="true"/>
      <sz val="11"/>
      <color rgb="FF17324D"/>
      <name val="Arial"/>
      <family val="2"/>
    </font>
    <font>
      <b val="true"/>
      <sz val="10"/>
      <color rgb="FF17324D"/>
      <name val="Arial"/>
      <family val="2"/>
    </font>
    <font>
      <sz val="9"/>
      <color rgb="FF6B7280"/>
      <name val="Arial"/>
      <family val="2"/>
    </font>
    <font>
      <sz val="8"/>
      <color rgb="FF6B7280"/>
      <name val="Arial"/>
      <family val="2"/>
    </font>
    <font>
      <b val="true"/>
      <sz val="10"/>
      <color rgb="FF0000FF"/>
      <name val="Arial"/>
      <family val="2"/>
    </font>
    <font>
      <b val="true"/>
      <sz val="10"/>
      <color rgb="FF1D6F42"/>
      <name val="Arial"/>
      <family val="2"/>
    </font>
    <font>
      <b val="true"/>
      <sz val="10"/>
      <color rgb="FF9A6700"/>
      <name val="Arial"/>
      <family val="2"/>
    </font>
    <font>
      <b val="true"/>
      <sz val="10"/>
      <color rgb="FFB42318"/>
      <name val="Arial"/>
      <family val="2"/>
    </font>
    <font>
      <b val="true"/>
      <sz val="10"/>
      <color rgb="FF6B7280"/>
      <name val="Arial"/>
      <family val="2"/>
    </font>
    <font>
      <b val="true"/>
      <sz val="10"/>
      <color rgb="FF1F2937"/>
      <name val="Arial"/>
      <family val="2"/>
    </font>
    <font>
      <b val="true"/>
      <sz val="15"/>
      <color rgb="FF17324D"/>
      <name val="Arial"/>
      <family val="2"/>
    </font>
    <font>
      <b val="true"/>
      <sz val="14"/>
      <color rgb="FF17324D"/>
      <name val="Arial"/>
      <family val="2"/>
    </font>
    <font>
      <sz val="10"/>
      <color rgb="FF0000FF"/>
      <name val="Arial"/>
      <family val="2"/>
    </font>
    <font>
      <sz val="10"/>
      <color rgb="FF1D6F42"/>
      <name val="Arial"/>
      <family val="2"/>
    </font>
    <font>
      <sz val="10"/>
      <color rgb="FFB42318"/>
      <name val="Arial"/>
      <family val="2"/>
    </font>
    <font>
      <sz val="13"/>
      <name val="Arial"/>
      <family val="2"/>
    </font>
    <font>
      <sz val="10"/>
      <name val="Arial"/>
      <family val="2"/>
    </font>
  </fonts>
  <fills count="17">
    <fill>
      <patternFill patternType="none"/>
    </fill>
    <fill>
      <patternFill patternType="gray125"/>
    </fill>
    <fill>
      <patternFill patternType="solid">
        <fgColor rgb="FFD9EAF7"/>
        <bgColor rgb="FFD7E4F2"/>
      </patternFill>
    </fill>
    <fill>
      <patternFill patternType="solid">
        <fgColor rgb="FFF6FAFD"/>
        <bgColor rgb="FFF7F9FB"/>
      </patternFill>
    </fill>
    <fill>
      <patternFill patternType="solid">
        <fgColor rgb="FFEAF2F8"/>
        <bgColor rgb="FFE7F0F7"/>
      </patternFill>
    </fill>
    <fill>
      <patternFill patternType="solid">
        <fgColor rgb="FFBDD7EE"/>
        <bgColor rgb="FFCCD6DD"/>
      </patternFill>
    </fill>
    <fill>
      <patternFill patternType="solid">
        <fgColor rgb="FFF7F9FB"/>
        <bgColor rgb="FFF6FAFD"/>
      </patternFill>
    </fill>
    <fill>
      <patternFill patternType="solid">
        <fgColor rgb="FFFFF2CC"/>
        <bgColor rgb="FFFFF4CE"/>
      </patternFill>
    </fill>
    <fill>
      <patternFill patternType="solid">
        <fgColor rgb="FFE2F0D9"/>
        <bgColor rgb="FFE8F3EC"/>
      </patternFill>
    </fill>
    <fill>
      <patternFill patternType="solid">
        <fgColor rgb="FFFFF4CE"/>
        <bgColor rgb="FFFFF2CC"/>
      </patternFill>
    </fill>
    <fill>
      <patternFill patternType="solid">
        <fgColor rgb="FFFCE4D6"/>
        <bgColor rgb="FFFCE8E6"/>
      </patternFill>
    </fill>
    <fill>
      <patternFill patternType="solid">
        <fgColor rgb="FFF1F3F5"/>
        <bgColor rgb="FFEAF2F8"/>
      </patternFill>
    </fill>
    <fill>
      <patternFill patternType="solid">
        <fgColor rgb="FFD7E4F2"/>
        <bgColor rgb="FFD9EAF7"/>
      </patternFill>
    </fill>
    <fill>
      <patternFill patternType="solid">
        <fgColor rgb="FFE8F3EC"/>
        <bgColor rgb="FFEAF2F8"/>
      </patternFill>
    </fill>
    <fill>
      <patternFill patternType="solid">
        <fgColor rgb="FFFFFFFF"/>
        <bgColor rgb="FFF6FAFD"/>
      </patternFill>
    </fill>
    <fill>
      <patternFill patternType="solid">
        <fgColor rgb="FFFCE8E6"/>
        <bgColor rgb="FFFCE4D6"/>
      </patternFill>
    </fill>
    <fill>
      <patternFill patternType="solid">
        <fgColor rgb="FFE7F0F7"/>
        <bgColor rgb="FFEAF2F8"/>
      </patternFill>
    </fill>
  </fills>
  <borders count="15">
    <border diagonalUp="false" diagonalDown="false">
      <left/>
      <right/>
      <top/>
      <bottom/>
      <diagonal/>
    </border>
    <border diagonalUp="false" diagonalDown="false">
      <left style="hair">
        <color rgb="FF1F4E79"/>
      </left>
      <right style="hair">
        <color rgb="FF1F4E79"/>
      </right>
      <top style="hair">
        <color rgb="FF1F4E79"/>
      </top>
      <bottom style="hair">
        <color rgb="FF1F4E79"/>
      </bottom>
      <diagonal/>
    </border>
    <border diagonalUp="false" diagonalDown="false">
      <left style="hair">
        <color rgb="FFB7C9D6"/>
      </left>
      <right style="hair">
        <color rgb="FFB7C9D6"/>
      </right>
      <top style="hair">
        <color rgb="FFB7C9D6"/>
      </top>
      <bottom style="hair">
        <color rgb="FFB7C9D6"/>
      </bottom>
      <diagonal/>
    </border>
    <border diagonalUp="false" diagonalDown="false">
      <left style="hair">
        <color rgb="FF8CB9A0"/>
      </left>
      <right style="hair">
        <color rgb="FF8CB9A0"/>
      </right>
      <top style="hair">
        <color rgb="FF8CB9A0"/>
      </top>
      <bottom style="hair">
        <color rgb="FF8CB9A0"/>
      </bottom>
      <diagonal/>
    </border>
    <border diagonalUp="false" diagonalDown="false">
      <left style="hair">
        <color rgb="FFCCD6DD"/>
      </left>
      <right style="hair">
        <color rgb="FFCCD6DD"/>
      </right>
      <top style="hair">
        <color rgb="FFCCD6DD"/>
      </top>
      <bottom style="hair">
        <color rgb="FFCCD6DD"/>
      </bottom>
      <diagonal/>
    </border>
    <border diagonalUp="false" diagonalDown="false">
      <left style="thin">
        <color rgb="FF1F4E79"/>
      </left>
      <right style="hair">
        <color rgb="FFB7C9D6"/>
      </right>
      <top style="thin">
        <color rgb="FF1F4E79"/>
      </top>
      <bottom style="hair">
        <color rgb="FFB7C9D6"/>
      </bottom>
      <diagonal/>
    </border>
    <border diagonalUp="false" diagonalDown="false">
      <left style="hair">
        <color rgb="FFB7C9D6"/>
      </left>
      <right style="hair">
        <color rgb="FFB7C9D6"/>
      </right>
      <top style="thin">
        <color rgb="FF1F4E79"/>
      </top>
      <bottom style="hair">
        <color rgb="FFB7C9D6"/>
      </bottom>
      <diagonal/>
    </border>
    <border diagonalUp="false" diagonalDown="false">
      <left style="hair">
        <color rgb="FFB7C9D6"/>
      </left>
      <right style="thin">
        <color rgb="FF1F4E79"/>
      </right>
      <top style="thin">
        <color rgb="FF1F4E79"/>
      </top>
      <bottom style="hair">
        <color rgb="FFB7C9D6"/>
      </bottom>
      <diagonal/>
    </border>
    <border diagonalUp="false" diagonalDown="false">
      <left style="thin">
        <color rgb="FF1F4E79"/>
      </left>
      <right style="hair">
        <color rgb="FFB7C9D6"/>
      </right>
      <top style="hair">
        <color rgb="FFB7C9D6"/>
      </top>
      <bottom style="hair">
        <color rgb="FFB7C9D6"/>
      </bottom>
      <diagonal/>
    </border>
    <border diagonalUp="false" diagonalDown="false">
      <left style="hair">
        <color rgb="FFB7C9D6"/>
      </left>
      <right style="thin">
        <color rgb="FF1F4E79"/>
      </right>
      <top style="hair">
        <color rgb="FFB7C9D6"/>
      </top>
      <bottom style="hair">
        <color rgb="FFB7C9D6"/>
      </bottom>
      <diagonal/>
    </border>
    <border diagonalUp="false" diagonalDown="false">
      <left style="thin">
        <color rgb="FF1F4E79"/>
      </left>
      <right style="hair">
        <color rgb="FFB7C9D6"/>
      </right>
      <top style="hair">
        <color rgb="FFB7C9D6"/>
      </top>
      <bottom style="thin">
        <color rgb="FF1F4E79"/>
      </bottom>
      <diagonal/>
    </border>
    <border diagonalUp="false" diagonalDown="false">
      <left style="hair">
        <color rgb="FFB7C9D6"/>
      </left>
      <right style="hair">
        <color rgb="FFB7C9D6"/>
      </right>
      <top style="hair">
        <color rgb="FFB7C9D6"/>
      </top>
      <bottom style="thin">
        <color rgb="FF1F4E79"/>
      </bottom>
      <diagonal/>
    </border>
    <border diagonalUp="false" diagonalDown="false">
      <left style="hair">
        <color rgb="FFB7C9D6"/>
      </left>
      <right style="thin">
        <color rgb="FF1F4E79"/>
      </right>
      <top style="hair">
        <color rgb="FFB7C9D6"/>
      </top>
      <bottom style="thin">
        <color rgb="FF1F4E79"/>
      </bottom>
      <diagonal/>
    </border>
    <border diagonalUp="false" diagonalDown="false">
      <left style="thin">
        <color rgb="FF1F4E79"/>
      </left>
      <right style="thin">
        <color rgb="FF1F4E79"/>
      </right>
      <top style="thin">
        <color rgb="FF1F4E79"/>
      </top>
      <bottom style="thin">
        <color rgb="FF1F4E79"/>
      </bottom>
      <diagonal/>
    </border>
    <border diagonalUp="false" diagonalDown="false">
      <left style="hair">
        <color rgb="FFB8C7D1"/>
      </left>
      <right style="hair">
        <color rgb="FFB8C7D1"/>
      </right>
      <top style="hair">
        <color rgb="FFB8C7D1"/>
      </top>
      <bottom style="hair">
        <color rgb="FFB8C7D1"/>
      </bottom>
      <diagonal/>
    </border>
  </borders>
  <cellStyleXfs count="6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general" vertical="center" textRotation="0" wrapText="false" indent="0" shrinkToFit="false"/>
      <protection locked="true" hidden="false"/>
    </xf>
    <xf numFmtId="164" fontId="4" fillId="2" borderId="0" applyFont="true" applyBorder="false" applyAlignment="true" applyProtection="true">
      <alignment horizontal="left" vertical="center" textRotation="0" wrapText="false" indent="0" shrinkToFit="false"/>
      <protection locked="true" hidden="false"/>
    </xf>
    <xf numFmtId="164" fontId="5" fillId="3" borderId="0" applyFont="true" applyBorder="false" applyAlignment="true" applyProtection="true">
      <alignment horizontal="left" vertical="center" textRotation="0" wrapText="false" indent="0" shrinkToFit="false"/>
      <protection locked="true" hidden="false"/>
    </xf>
    <xf numFmtId="164" fontId="6" fillId="4" borderId="0" applyFont="true" applyBorder="false" applyAlignment="true" applyProtection="true">
      <alignment horizontal="left" vertical="center" textRotation="0" wrapText="false" indent="0" shrinkToFit="false"/>
      <protection locked="true" hidden="false"/>
    </xf>
    <xf numFmtId="164" fontId="7" fillId="5" borderId="0" applyFont="true" applyBorder="false" applyAlignment="true" applyProtection="true">
      <alignment horizontal="center" vertical="center" textRotation="0" wrapText="true" indent="0" shrinkToFit="false"/>
      <protection locked="true" hidden="false"/>
    </xf>
    <xf numFmtId="164" fontId="7" fillId="5" borderId="0" applyFont="true" applyBorder="false" applyAlignment="true" applyProtection="true">
      <alignment horizontal="right" vertical="center" textRotation="0" wrapText="true" indent="0" shrinkToFit="false"/>
      <protection locked="true" hidden="false"/>
    </xf>
    <xf numFmtId="164" fontId="0" fillId="0" borderId="0" applyFont="true" applyBorder="false" applyAlignment="true" applyProtection="true">
      <alignment horizontal="left" vertical="center" textRotation="0" wrapText="false" indent="0" shrinkToFit="false"/>
      <protection locked="true" hidden="false"/>
    </xf>
    <xf numFmtId="164" fontId="0" fillId="0" borderId="0" applyFont="true" applyBorder="false" applyAlignment="true" applyProtection="true">
      <alignment horizontal="left" vertical="center" textRotation="0" wrapText="false" indent="1" shrinkToFit="false"/>
      <protection locked="true" hidden="false"/>
    </xf>
    <xf numFmtId="164" fontId="8" fillId="0" borderId="0" applyFont="true" applyBorder="false" applyAlignment="true" applyProtection="true">
      <alignment horizontal="left" vertical="top" textRotation="0" wrapText="true" indent="0" shrinkToFit="false"/>
      <protection locked="true" hidden="false"/>
    </xf>
    <xf numFmtId="164" fontId="9" fillId="0" borderId="0" applyFont="true" applyBorder="false" applyAlignment="true" applyProtection="true">
      <alignment horizontal="left" vertical="center" textRotation="0" wrapText="false" indent="0" shrinkToFit="false"/>
      <protection locked="true" hidden="false"/>
    </xf>
    <xf numFmtId="165" fontId="0" fillId="0" borderId="0" applyFont="true" applyBorder="false" applyAlignment="true" applyProtection="true">
      <alignment horizontal="right" vertical="center" textRotation="0" wrapText="false" indent="0" shrinkToFit="false"/>
      <protection locked="true" hidden="false"/>
    </xf>
    <xf numFmtId="166" fontId="0" fillId="0" borderId="0" applyFont="true" applyBorder="false" applyAlignment="true" applyProtection="true">
      <alignment horizontal="right" vertical="center" textRotation="0" wrapText="false" indent="0" shrinkToFit="false"/>
      <protection locked="true" hidden="false"/>
    </xf>
    <xf numFmtId="167" fontId="0" fillId="0" borderId="0" applyFont="true" applyBorder="false" applyAlignment="true" applyProtection="true">
      <alignment horizontal="right" vertical="center" textRotation="0" wrapText="false" indent="0" shrinkToFit="false"/>
      <protection locked="true" hidden="false"/>
    </xf>
    <xf numFmtId="168" fontId="0" fillId="0" borderId="0" applyFont="true" applyBorder="false" applyAlignment="true" applyProtection="true">
      <alignment horizontal="right" vertical="center" textRotation="0" wrapText="false" indent="0" shrinkToFit="false"/>
      <protection locked="true" hidden="false"/>
    </xf>
    <xf numFmtId="169" fontId="0" fillId="0" borderId="0" applyFont="true" applyBorder="false" applyAlignment="true" applyProtection="true">
      <alignment horizontal="right" vertical="center" textRotation="0" wrapText="false" indent="0" shrinkToFit="false"/>
      <protection locked="true" hidden="false"/>
    </xf>
    <xf numFmtId="170" fontId="0" fillId="0" borderId="0" applyFont="true" applyBorder="false" applyAlignment="true" applyProtection="true">
      <alignment horizontal="right" vertical="center" textRotation="0" wrapText="false" indent="0" shrinkToFit="false"/>
      <protection locked="true" hidden="false"/>
    </xf>
    <xf numFmtId="171" fontId="0" fillId="0" borderId="0" applyFont="true" applyBorder="false" applyAlignment="true" applyProtection="true">
      <alignment horizontal="right" vertical="center" textRotation="0" wrapText="false" indent="0" shrinkToFit="false"/>
      <protection locked="true" hidden="false"/>
    </xf>
    <xf numFmtId="172" fontId="0" fillId="0" borderId="0" applyFont="true" applyBorder="false" applyAlignment="true" applyProtection="true">
      <alignment horizontal="right" vertical="center" textRotation="0" wrapText="false" indent="0" shrinkToFit="false"/>
      <protection locked="true" hidden="false"/>
    </xf>
    <xf numFmtId="165" fontId="0" fillId="6" borderId="0" applyFont="true" applyBorder="false" applyAlignment="true" applyProtection="true">
      <alignment horizontal="right" vertical="center" textRotation="0" wrapText="false" indent="0" shrinkToFit="false"/>
      <protection locked="true" hidden="false"/>
    </xf>
    <xf numFmtId="166" fontId="0" fillId="6" borderId="0" applyFont="true" applyBorder="false" applyAlignment="true" applyProtection="true">
      <alignment horizontal="right" vertical="center" textRotation="0" wrapText="false" indent="0" shrinkToFit="false"/>
      <protection locked="true" hidden="false"/>
    </xf>
    <xf numFmtId="167" fontId="0" fillId="6" borderId="0" applyFont="true" applyBorder="false" applyAlignment="true" applyProtection="true">
      <alignment horizontal="right" vertical="center" textRotation="0" wrapText="false" indent="0" shrinkToFit="false"/>
      <protection locked="true" hidden="false"/>
    </xf>
    <xf numFmtId="168" fontId="0" fillId="6" borderId="0" applyFont="true" applyBorder="false" applyAlignment="true" applyProtection="true">
      <alignment horizontal="right" vertical="center" textRotation="0" wrapText="false" indent="0" shrinkToFit="false"/>
      <protection locked="true" hidden="false"/>
    </xf>
    <xf numFmtId="169" fontId="0" fillId="6" borderId="0" applyFont="true" applyBorder="false" applyAlignment="true" applyProtection="true">
      <alignment horizontal="right" vertical="center" textRotation="0" wrapText="false" indent="0" shrinkToFit="false"/>
      <protection locked="true" hidden="false"/>
    </xf>
    <xf numFmtId="170" fontId="0" fillId="6" borderId="0" applyFont="true" applyBorder="false" applyAlignment="true" applyProtection="true">
      <alignment horizontal="right" vertical="center" textRotation="0" wrapText="false" indent="0" shrinkToFit="false"/>
      <protection locked="true" hidden="false"/>
    </xf>
    <xf numFmtId="171" fontId="0" fillId="6" borderId="0" applyFont="true" applyBorder="false" applyAlignment="true" applyProtection="true">
      <alignment horizontal="right" vertical="center" textRotation="0" wrapText="false" indent="0" shrinkToFit="false"/>
      <protection locked="true" hidden="false"/>
    </xf>
    <xf numFmtId="172" fontId="0" fillId="6" borderId="0" applyFont="true" applyBorder="false" applyAlignment="true" applyProtection="true">
      <alignment horizontal="right" vertical="center" textRotation="0" wrapText="false" indent="0" shrinkToFit="false"/>
      <protection locked="true" hidden="false"/>
    </xf>
    <xf numFmtId="164" fontId="0" fillId="6" borderId="0" applyFont="true" applyBorder="false" applyAlignment="true" applyProtection="true">
      <alignment horizontal="left" vertical="center" textRotation="0" wrapText="false" indent="0" shrinkToFit="false"/>
      <protection locked="true" hidden="false"/>
    </xf>
    <xf numFmtId="164" fontId="8" fillId="6" borderId="0" applyFont="true" applyBorder="false" applyAlignment="true" applyProtection="true">
      <alignment horizontal="left" vertical="top" textRotation="0" wrapText="true" indent="0" shrinkToFit="false"/>
      <protection locked="true" hidden="false"/>
    </xf>
    <xf numFmtId="165" fontId="10" fillId="7" borderId="0" applyFont="true" applyBorder="false" applyAlignment="true" applyProtection="true">
      <alignment horizontal="right" vertical="center" textRotation="0" wrapText="false" indent="0" shrinkToFit="false"/>
      <protection locked="false" hidden="false"/>
    </xf>
    <xf numFmtId="166" fontId="10" fillId="7" borderId="0" applyFont="true" applyBorder="false" applyAlignment="true" applyProtection="true">
      <alignment horizontal="right" vertical="center" textRotation="0" wrapText="false" indent="0" shrinkToFit="false"/>
      <protection locked="false" hidden="false"/>
    </xf>
    <xf numFmtId="168" fontId="10" fillId="7" borderId="0" applyFont="true" applyBorder="false" applyAlignment="true" applyProtection="true">
      <alignment horizontal="right" vertical="center" textRotation="0" wrapText="false" indent="0" shrinkToFit="false"/>
      <protection locked="false" hidden="false"/>
    </xf>
    <xf numFmtId="170" fontId="10" fillId="7" borderId="0" applyFont="true" applyBorder="false" applyAlignment="true" applyProtection="true">
      <alignment horizontal="right" vertical="center" textRotation="0" wrapText="false" indent="0" shrinkToFit="false"/>
      <protection locked="false" hidden="false"/>
    </xf>
    <xf numFmtId="169" fontId="10" fillId="7" borderId="0" applyFont="true" applyBorder="false" applyAlignment="true" applyProtection="true">
      <alignment horizontal="right" vertical="center" textRotation="0" wrapText="false" indent="0" shrinkToFit="false"/>
      <protection locked="false" hidden="false"/>
    </xf>
    <xf numFmtId="164" fontId="10" fillId="7" borderId="0" applyFont="true" applyBorder="false" applyAlignment="true" applyProtection="true">
      <alignment horizontal="left" vertical="center" textRotation="0" wrapText="false" indent="0" shrinkToFit="false"/>
      <protection locked="false" hidden="false"/>
    </xf>
    <xf numFmtId="164" fontId="11" fillId="8" borderId="0" applyFont="true" applyBorder="false" applyAlignment="true" applyProtection="true">
      <alignment horizontal="center" vertical="center" textRotation="0" wrapText="false" indent="0" shrinkToFit="false"/>
      <protection locked="true" hidden="false"/>
    </xf>
    <xf numFmtId="164" fontId="12" fillId="9" borderId="0" applyFont="true" applyBorder="false" applyAlignment="true" applyProtection="true">
      <alignment horizontal="center" vertical="center" textRotation="0" wrapText="false" indent="0" shrinkToFit="false"/>
      <protection locked="true" hidden="false"/>
    </xf>
    <xf numFmtId="164" fontId="13" fillId="10" borderId="0" applyFont="true" applyBorder="false" applyAlignment="true" applyProtection="true">
      <alignment horizontal="center" vertical="center" textRotation="0" wrapText="false" indent="0" shrinkToFit="false"/>
      <protection locked="true" hidden="false"/>
    </xf>
    <xf numFmtId="164" fontId="14" fillId="11" borderId="0" applyFont="true" applyBorder="false" applyAlignment="true" applyProtection="true">
      <alignment horizontal="center" vertical="center" textRotation="0" wrapText="false" indent="0" shrinkToFit="false"/>
      <protection locked="true" hidden="false"/>
    </xf>
    <xf numFmtId="165" fontId="7" fillId="12" borderId="0" applyFont="true" applyBorder="false" applyAlignment="true" applyProtection="true">
      <alignment horizontal="right" vertical="center" textRotation="0" wrapText="false" indent="0" shrinkToFit="false"/>
      <protection locked="true" hidden="false"/>
    </xf>
    <xf numFmtId="164" fontId="7" fillId="12" borderId="0" applyFont="true" applyBorder="false" applyAlignment="true" applyProtection="true">
      <alignment horizontal="left" vertical="center" textRotation="0" wrapText="false" indent="0" shrinkToFit="false"/>
      <protection locked="true" hidden="false"/>
    </xf>
    <xf numFmtId="166" fontId="7" fillId="12" borderId="0" applyFont="true" applyBorder="false" applyAlignment="true" applyProtection="true">
      <alignment horizontal="right" vertical="center" textRotation="0" wrapText="false" indent="0" shrinkToFit="false"/>
      <protection locked="true" hidden="false"/>
    </xf>
    <xf numFmtId="164" fontId="15" fillId="6" borderId="0" applyFont="true" applyBorder="false" applyAlignment="true" applyProtection="true">
      <alignment horizontal="left" vertical="center" textRotation="0" wrapText="false" indent="0" shrinkToFit="false"/>
      <protection locked="true" hidden="false"/>
    </xf>
    <xf numFmtId="165" fontId="16" fillId="6" borderId="0" applyFont="true" applyBorder="false" applyAlignment="true" applyProtection="true">
      <alignment horizontal="right" vertical="center" textRotation="0" wrapText="false" indent="0" shrinkToFit="false"/>
      <protection locked="true" hidden="false"/>
    </xf>
    <xf numFmtId="164" fontId="8" fillId="6" borderId="0" applyFont="true" applyBorder="false" applyAlignment="true" applyProtection="true">
      <alignment horizontal="left" vertical="center" textRotation="0" wrapText="false" indent="0" shrinkToFit="false"/>
      <protection locked="true" hidden="false"/>
    </xf>
    <xf numFmtId="164" fontId="11" fillId="8" borderId="0" applyFont="true" applyBorder="false" applyAlignment="true" applyProtection="true">
      <alignment horizontal="right" vertical="center" textRotation="0" wrapText="false" indent="0" shrinkToFit="false"/>
      <protection locked="true" hidden="false"/>
    </xf>
    <xf numFmtId="164" fontId="13" fillId="10" borderId="0" applyFont="true" applyBorder="false" applyAlignment="true" applyProtection="true">
      <alignment horizontal="right" vertical="center" textRotation="0" wrapText="false" indent="0" shrinkToFit="false"/>
      <protection locked="true" hidden="false"/>
    </xf>
    <xf numFmtId="164" fontId="12" fillId="9" borderId="0" applyFont="true" applyBorder="false" applyAlignment="true" applyProtection="true">
      <alignment horizontal="right" vertical="center" textRotation="0" wrapText="false" indent="0" shrinkToFit="false"/>
      <protection locked="true" hidden="false"/>
    </xf>
    <xf numFmtId="164" fontId="0" fillId="6" borderId="0" applyFont="true" applyBorder="false" applyAlignment="true" applyProtection="true">
      <alignment horizontal="right" vertical="center" textRotation="0" wrapText="false" indent="0" shrinkToFit="false"/>
      <protection locked="true" hidden="false"/>
    </xf>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5" fillId="6" borderId="2" xfId="0" applyFont="true" applyBorder="true" applyAlignment="true" applyProtection="false">
      <alignment horizontal="general" vertical="bottom" textRotation="0" wrapText="true" indent="0" shrinkToFit="false"/>
      <protection locked="true" hidden="false"/>
    </xf>
    <xf numFmtId="165" fontId="17" fillId="6" borderId="2"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13" borderId="3" xfId="0" applyFont="true" applyBorder="true" applyAlignment="true" applyProtection="false">
      <alignment horizontal="general" vertical="bottom" textRotation="0" wrapText="true" indent="0" shrinkToFit="false"/>
      <protection locked="true" hidden="false"/>
    </xf>
    <xf numFmtId="166" fontId="0" fillId="13" borderId="3" xfId="0" applyFont="true" applyBorder="true" applyAlignment="true" applyProtection="false">
      <alignment horizontal="general" vertical="bottom" textRotation="0" wrapText="true" indent="0" shrinkToFit="false"/>
      <protection locked="true" hidden="false"/>
    </xf>
    <xf numFmtId="165" fontId="0" fillId="13" borderId="3" xfId="0" applyFont="true" applyBorder="true" applyAlignment="true" applyProtection="false">
      <alignment horizontal="general" vertical="bottom" textRotation="0" wrapText="true" indent="0" shrinkToFit="false"/>
      <protection locked="true" hidden="false"/>
    </xf>
    <xf numFmtId="166" fontId="17" fillId="6" borderId="2" xfId="0" applyFont="true" applyBorder="true" applyAlignment="true" applyProtection="false">
      <alignment horizontal="general" vertical="bottom" textRotation="0" wrapText="true" indent="0" shrinkToFit="false"/>
      <protection locked="true" hidden="false"/>
    </xf>
    <xf numFmtId="169" fontId="17" fillId="6" borderId="2" xfId="0" applyFont="true" applyBorder="true" applyAlignment="true" applyProtection="false">
      <alignment horizontal="general" vertical="bottom" textRotation="0" wrapText="true" indent="0" shrinkToFit="false"/>
      <protection locked="true" hidden="false"/>
    </xf>
    <xf numFmtId="164" fontId="11" fillId="8" borderId="3" xfId="0" applyFont="true" applyBorder="true" applyAlignment="true" applyProtection="false">
      <alignment horizontal="general" vertical="bottom" textRotation="0" wrapText="true" indent="0" shrinkToFit="false"/>
      <protection locked="true" hidden="false"/>
    </xf>
    <xf numFmtId="168" fontId="17" fillId="6" borderId="2" xfId="0" applyFont="true" applyBorder="true" applyAlignment="true" applyProtection="false">
      <alignment horizontal="general" vertical="bottom" textRotation="0" wrapText="true" indent="0" shrinkToFit="false"/>
      <protection locked="true" hidden="false"/>
    </xf>
    <xf numFmtId="164" fontId="0" fillId="14" borderId="4" xfId="0" applyFont="true" applyBorder="true" applyAlignment="false" applyProtection="false">
      <alignment horizontal="general" vertical="bottom" textRotation="0" wrapText="false" indent="0" shrinkToFit="false"/>
      <protection locked="true" hidden="false"/>
    </xf>
    <xf numFmtId="164" fontId="18" fillId="7" borderId="4" xfId="0" applyFont="true" applyBorder="true" applyAlignment="false" applyProtection="false">
      <alignment horizontal="general" vertical="bottom" textRotation="0" wrapText="false" indent="0" shrinkToFit="false"/>
      <protection locked="true" hidden="false"/>
    </xf>
    <xf numFmtId="164" fontId="19" fillId="14" borderId="4" xfId="0" applyFont="true" applyBorder="true" applyAlignment="false" applyProtection="false">
      <alignment horizontal="general" vertical="bottom" textRotation="0" wrapText="false" indent="0" shrinkToFit="false"/>
      <protection locked="true" hidden="false"/>
    </xf>
    <xf numFmtId="164" fontId="20" fillId="14" borderId="4" xfId="0" applyFont="true" applyBorder="true" applyAlignment="false" applyProtection="false">
      <alignment horizontal="general" vertical="bottom" textRotation="0" wrapText="false" indent="0" shrinkToFit="false"/>
      <protection locked="true" hidden="false"/>
    </xf>
    <xf numFmtId="164" fontId="7" fillId="5" borderId="5" xfId="24" applyFont="true" applyBorder="true" applyAlignment="false" applyProtection="false">
      <alignment horizontal="center" vertical="center" textRotation="0" wrapText="true" indent="0" shrinkToFit="false"/>
      <protection locked="true" hidden="false"/>
    </xf>
    <xf numFmtId="164" fontId="7" fillId="5" borderId="6" xfId="24" applyFont="true" applyBorder="true" applyAlignment="false" applyProtection="false">
      <alignment horizontal="center" vertical="center" textRotation="0" wrapText="true" indent="0" shrinkToFit="false"/>
      <protection locked="true" hidden="false"/>
    </xf>
    <xf numFmtId="164" fontId="7" fillId="5" borderId="6" xfId="25" applyFont="true" applyBorder="true" applyAlignment="false" applyProtection="false">
      <alignment horizontal="right" vertical="center" textRotation="0" wrapText="true" indent="0" shrinkToFit="false"/>
      <protection locked="true" hidden="false"/>
    </xf>
    <xf numFmtId="164" fontId="7" fillId="5" borderId="7" xfId="24" applyFont="true" applyBorder="true" applyAlignment="false" applyProtection="false">
      <alignment horizontal="center" vertical="center" textRotation="0" wrapText="true" indent="0" shrinkToFit="false"/>
      <protection locked="true" hidden="false"/>
    </xf>
    <xf numFmtId="164" fontId="0" fillId="0" borderId="8" xfId="26" applyFont="true" applyBorder="true" applyAlignment="false" applyProtection="false">
      <alignment horizontal="left" vertical="center" textRotation="0" wrapText="false" indent="0" shrinkToFit="false"/>
      <protection locked="true" hidden="false"/>
    </xf>
    <xf numFmtId="164" fontId="0" fillId="0" borderId="2" xfId="26" applyFont="true" applyBorder="true" applyAlignment="false" applyProtection="false">
      <alignment horizontal="left" vertical="center" textRotation="0" wrapText="false" indent="0" shrinkToFit="false"/>
      <protection locked="true" hidden="false"/>
    </xf>
    <xf numFmtId="164" fontId="10" fillId="7" borderId="2" xfId="53" applyFont="true" applyBorder="true" applyAlignment="false" applyProtection="false">
      <alignment horizontal="left" vertical="center" textRotation="0" wrapText="false" indent="0" shrinkToFit="false"/>
      <protection locked="false" hidden="false"/>
    </xf>
    <xf numFmtId="164" fontId="13" fillId="10" borderId="2" xfId="56" applyFont="true" applyBorder="true" applyAlignment="false" applyProtection="false">
      <alignment horizontal="center" vertical="center" textRotation="0" wrapText="false" indent="0" shrinkToFit="false"/>
      <protection locked="true" hidden="false"/>
    </xf>
    <xf numFmtId="164" fontId="8" fillId="0" borderId="2" xfId="28" applyFont="true" applyBorder="true" applyAlignment="false" applyProtection="false">
      <alignment horizontal="left" vertical="top" textRotation="0" wrapText="true" indent="0" shrinkToFit="false"/>
      <protection locked="true" hidden="false"/>
    </xf>
    <xf numFmtId="164" fontId="8" fillId="0" borderId="9" xfId="28" applyFont="true" applyBorder="true" applyAlignment="false" applyProtection="false">
      <alignment horizontal="left" vertical="top" textRotation="0" wrapText="true" indent="0" shrinkToFit="false"/>
      <protection locked="true" hidden="false"/>
    </xf>
    <xf numFmtId="164" fontId="0" fillId="6" borderId="8" xfId="46" applyFont="true" applyBorder="true" applyAlignment="false" applyProtection="false">
      <alignment horizontal="left" vertical="center" textRotation="0" wrapText="false" indent="0" shrinkToFit="false"/>
      <protection locked="true" hidden="false"/>
    </xf>
    <xf numFmtId="164" fontId="0" fillId="6" borderId="2" xfId="46" applyFont="true" applyBorder="true" applyAlignment="false" applyProtection="false">
      <alignment horizontal="left" vertical="center" textRotation="0" wrapText="false" indent="0" shrinkToFit="false"/>
      <protection locked="true" hidden="false"/>
    </xf>
    <xf numFmtId="166" fontId="10" fillId="7" borderId="2" xfId="49" applyFont="false" applyBorder="true" applyAlignment="false" applyProtection="false">
      <alignment horizontal="right" vertical="center" textRotation="0" wrapText="false" indent="0" shrinkToFit="false"/>
      <protection locked="false" hidden="false"/>
    </xf>
    <xf numFmtId="164" fontId="12" fillId="9" borderId="2" xfId="55" applyFont="true" applyBorder="true" applyAlignment="false" applyProtection="false">
      <alignment horizontal="center" vertical="center" textRotation="0" wrapText="false" indent="0" shrinkToFit="false"/>
      <protection locked="true" hidden="false"/>
    </xf>
    <xf numFmtId="164" fontId="8" fillId="6" borderId="2" xfId="47" applyFont="true" applyBorder="true" applyAlignment="false" applyProtection="false">
      <alignment horizontal="left" vertical="top" textRotation="0" wrapText="true" indent="0" shrinkToFit="false"/>
      <protection locked="true" hidden="false"/>
    </xf>
    <xf numFmtId="164" fontId="8" fillId="6" borderId="9" xfId="47" applyFont="true" applyBorder="true" applyAlignment="false" applyProtection="false">
      <alignment horizontal="left" vertical="top" textRotation="0" wrapText="true" indent="0" shrinkToFit="false"/>
      <protection locked="true" hidden="false"/>
    </xf>
    <xf numFmtId="165" fontId="10" fillId="7" borderId="2" xfId="48" applyFont="false" applyBorder="true" applyAlignment="false" applyProtection="false">
      <alignment horizontal="right" vertical="center" textRotation="0" wrapText="false" indent="0" shrinkToFit="false"/>
      <protection locked="false" hidden="false"/>
    </xf>
    <xf numFmtId="164" fontId="11" fillId="8" borderId="2" xfId="54" applyFont="true" applyBorder="true" applyAlignment="false" applyProtection="false">
      <alignment horizontal="center" vertical="center" textRotation="0" wrapText="false" indent="0" shrinkToFit="false"/>
      <protection locked="true" hidden="false"/>
    </xf>
    <xf numFmtId="168" fontId="10" fillId="7" borderId="2" xfId="50" applyFont="false" applyBorder="true" applyAlignment="false" applyProtection="false">
      <alignment horizontal="right" vertical="center" textRotation="0" wrapText="false" indent="0" shrinkToFit="false"/>
      <protection locked="false" hidden="false"/>
    </xf>
    <xf numFmtId="164" fontId="14" fillId="11" borderId="2" xfId="57" applyFont="true" applyBorder="true" applyAlignment="false" applyProtection="false">
      <alignment horizontal="center" vertical="center" textRotation="0" wrapText="false" indent="0" shrinkToFit="false"/>
      <protection locked="true" hidden="false"/>
    </xf>
    <xf numFmtId="169" fontId="10" fillId="7" borderId="2" xfId="52" applyFont="false" applyBorder="true" applyAlignment="false" applyProtection="false">
      <alignment horizontal="right" vertical="center" textRotation="0" wrapText="false" indent="0" shrinkToFit="false"/>
      <protection locked="false" hidden="false"/>
    </xf>
    <xf numFmtId="164" fontId="0" fillId="6" borderId="10" xfId="46" applyFont="true" applyBorder="true" applyAlignment="false" applyProtection="false">
      <alignment horizontal="left" vertical="center" textRotation="0" wrapText="false" indent="0" shrinkToFit="false"/>
      <protection locked="true" hidden="false"/>
    </xf>
    <xf numFmtId="164" fontId="0" fillId="6" borderId="11" xfId="46" applyFont="true" applyBorder="true" applyAlignment="false" applyProtection="false">
      <alignment horizontal="left" vertical="center" textRotation="0" wrapText="false" indent="0" shrinkToFit="false"/>
      <protection locked="true" hidden="false"/>
    </xf>
    <xf numFmtId="168" fontId="10" fillId="7" borderId="11" xfId="50" applyFont="false" applyBorder="true" applyAlignment="false" applyProtection="false">
      <alignment horizontal="right" vertical="center" textRotation="0" wrapText="false" indent="0" shrinkToFit="false"/>
      <protection locked="false" hidden="false"/>
    </xf>
    <xf numFmtId="164" fontId="14" fillId="11" borderId="11" xfId="57" applyFont="true" applyBorder="true" applyAlignment="false" applyProtection="false">
      <alignment horizontal="center" vertical="center" textRotation="0" wrapText="false" indent="0" shrinkToFit="false"/>
      <protection locked="true" hidden="false"/>
    </xf>
    <xf numFmtId="164" fontId="8" fillId="6" borderId="11" xfId="47" applyFont="true" applyBorder="true" applyAlignment="false" applyProtection="false">
      <alignment horizontal="left" vertical="top" textRotation="0" wrapText="true" indent="0" shrinkToFit="false"/>
      <protection locked="true" hidden="false"/>
    </xf>
    <xf numFmtId="164" fontId="8" fillId="6" borderId="12" xfId="47" applyFont="true" applyBorder="true" applyAlignment="false" applyProtection="false">
      <alignment horizontal="left" vertical="top" textRotation="0" wrapText="true" indent="0" shrinkToFit="false"/>
      <protection locked="true" hidden="false"/>
    </xf>
    <xf numFmtId="164" fontId="7" fillId="5" borderId="13" xfId="0" applyFont="true" applyBorder="true" applyAlignment="true" applyProtection="false">
      <alignment horizontal="general" vertical="bottom" textRotation="0" wrapText="true" indent="0" shrinkToFit="false"/>
      <protection locked="true" hidden="false"/>
    </xf>
    <xf numFmtId="165" fontId="0" fillId="14" borderId="4" xfId="0" applyFont="true" applyBorder="true" applyAlignment="false" applyProtection="false">
      <alignment horizontal="general" vertical="bottom" textRotation="0" wrapText="false" indent="0" shrinkToFit="false"/>
      <protection locked="true" hidden="false"/>
    </xf>
    <xf numFmtId="164" fontId="0" fillId="6" borderId="4" xfId="0" applyFont="true" applyBorder="true" applyAlignment="false" applyProtection="false">
      <alignment horizontal="general" vertical="bottom" textRotation="0" wrapText="false" indent="0" shrinkToFit="false"/>
      <protection locked="true" hidden="false"/>
    </xf>
    <xf numFmtId="165" fontId="0" fillId="6" borderId="4" xfId="0" applyFont="true" applyBorder="true" applyAlignment="false" applyProtection="false">
      <alignment horizontal="general" vertical="bottom" textRotation="0" wrapText="false" indent="0" shrinkToFit="false"/>
      <protection locked="true" hidden="false"/>
    </xf>
    <xf numFmtId="164" fontId="7" fillId="12" borderId="13" xfId="0" applyFont="true" applyBorder="true" applyAlignment="false" applyProtection="false">
      <alignment horizontal="general" vertical="bottom" textRotation="0" wrapText="false" indent="0" shrinkToFit="false"/>
      <protection locked="true" hidden="false"/>
    </xf>
    <xf numFmtId="165" fontId="7" fillId="12" borderId="13" xfId="0" applyFont="true" applyBorder="true" applyAlignment="false" applyProtection="false">
      <alignment horizontal="general" vertical="bottom" textRotation="0" wrapText="false" indent="0" shrinkToFit="false"/>
      <protection locked="true" hidden="false"/>
    </xf>
    <xf numFmtId="168" fontId="0" fillId="14" borderId="4" xfId="0" applyFont="true" applyBorder="true" applyAlignment="false" applyProtection="false">
      <alignment horizontal="general" vertical="bottom" textRotation="0" wrapText="false" indent="0" shrinkToFit="false"/>
      <protection locked="true" hidden="false"/>
    </xf>
    <xf numFmtId="164" fontId="15" fillId="15" borderId="4" xfId="0" applyFont="true" applyBorder="true" applyAlignment="false" applyProtection="false">
      <alignment horizontal="general" vertical="bottom" textRotation="0" wrapText="false" indent="0" shrinkToFit="false"/>
      <protection locked="true" hidden="false"/>
    </xf>
    <xf numFmtId="165" fontId="0" fillId="15" borderId="4" xfId="0" applyFont="true" applyBorder="true" applyAlignment="false" applyProtection="false">
      <alignment horizontal="general" vertical="bottom" textRotation="0" wrapText="false" indent="0" shrinkToFit="false"/>
      <protection locked="true" hidden="false"/>
    </xf>
    <xf numFmtId="166" fontId="0" fillId="15" borderId="4" xfId="0" applyFont="true" applyBorder="true" applyAlignment="false" applyProtection="false">
      <alignment horizontal="general" vertical="bottom" textRotation="0" wrapText="false" indent="0" shrinkToFit="false"/>
      <protection locked="true" hidden="false"/>
    </xf>
    <xf numFmtId="169" fontId="0" fillId="15" borderId="4" xfId="0" applyFont="true" applyBorder="true" applyAlignment="false" applyProtection="false">
      <alignment horizontal="general" vertical="bottom" textRotation="0" wrapText="false" indent="0" shrinkToFit="false"/>
      <protection locked="true" hidden="false"/>
    </xf>
    <xf numFmtId="168" fontId="0" fillId="15" borderId="4" xfId="0" applyFont="true" applyBorder="true" applyAlignment="false" applyProtection="false">
      <alignment horizontal="general" vertical="bottom" textRotation="0" wrapText="false" indent="0" shrinkToFit="false"/>
      <protection locked="true" hidden="false"/>
    </xf>
    <xf numFmtId="164" fontId="15" fillId="16" borderId="4" xfId="0" applyFont="true" applyBorder="true" applyAlignment="false" applyProtection="false">
      <alignment horizontal="general" vertical="bottom" textRotation="0" wrapText="false" indent="0" shrinkToFit="false"/>
      <protection locked="true" hidden="false"/>
    </xf>
    <xf numFmtId="165" fontId="0" fillId="16" borderId="4" xfId="0" applyFont="true" applyBorder="true" applyAlignment="false" applyProtection="false">
      <alignment horizontal="general" vertical="bottom" textRotation="0" wrapText="false" indent="0" shrinkToFit="false"/>
      <protection locked="true" hidden="false"/>
    </xf>
    <xf numFmtId="166" fontId="0" fillId="16" borderId="4" xfId="0" applyFont="true" applyBorder="true" applyAlignment="false" applyProtection="false">
      <alignment horizontal="general" vertical="bottom" textRotation="0" wrapText="false" indent="0" shrinkToFit="false"/>
      <protection locked="true" hidden="false"/>
    </xf>
    <xf numFmtId="169" fontId="0" fillId="16" borderId="4" xfId="0" applyFont="true" applyBorder="true" applyAlignment="false" applyProtection="false">
      <alignment horizontal="general" vertical="bottom" textRotation="0" wrapText="false" indent="0" shrinkToFit="false"/>
      <protection locked="true" hidden="false"/>
    </xf>
    <xf numFmtId="168" fontId="0" fillId="16" borderId="4" xfId="0" applyFont="true" applyBorder="true" applyAlignment="false" applyProtection="false">
      <alignment horizontal="general" vertical="bottom" textRotation="0" wrapText="false" indent="0" shrinkToFit="false"/>
      <protection locked="true" hidden="false"/>
    </xf>
    <xf numFmtId="164" fontId="15" fillId="13" borderId="4" xfId="0" applyFont="true" applyBorder="true" applyAlignment="false" applyProtection="false">
      <alignment horizontal="general" vertical="bottom" textRotation="0" wrapText="false" indent="0" shrinkToFit="false"/>
      <protection locked="true" hidden="false"/>
    </xf>
    <xf numFmtId="165" fontId="0" fillId="13" borderId="4" xfId="0" applyFont="true" applyBorder="true" applyAlignment="false" applyProtection="false">
      <alignment horizontal="general" vertical="bottom" textRotation="0" wrapText="false" indent="0" shrinkToFit="false"/>
      <protection locked="true" hidden="false"/>
    </xf>
    <xf numFmtId="166" fontId="0" fillId="13" borderId="4" xfId="0" applyFont="true" applyBorder="true" applyAlignment="false" applyProtection="false">
      <alignment horizontal="general" vertical="bottom" textRotation="0" wrapText="false" indent="0" shrinkToFit="false"/>
      <protection locked="true" hidden="false"/>
    </xf>
    <xf numFmtId="169" fontId="0" fillId="13" borderId="4" xfId="0" applyFont="true" applyBorder="true" applyAlignment="false" applyProtection="false">
      <alignment horizontal="general" vertical="bottom" textRotation="0" wrapText="false" indent="0" shrinkToFit="false"/>
      <protection locked="true" hidden="false"/>
    </xf>
    <xf numFmtId="168" fontId="0" fillId="13" borderId="4" xfId="0" applyFont="true" applyBorder="true" applyAlignment="false" applyProtection="false">
      <alignment horizontal="general" vertical="bottom" textRotation="0" wrapText="false" indent="0" shrinkToFit="false"/>
      <protection locked="true" hidden="false"/>
    </xf>
    <xf numFmtId="164" fontId="7" fillId="5" borderId="14" xfId="0" applyFont="true" applyBorder="true" applyAlignment="true" applyProtection="false">
      <alignment horizontal="general" vertical="bottom" textRotation="0" wrapText="true" indent="0" shrinkToFit="false"/>
      <protection locked="true" hidden="false"/>
    </xf>
    <xf numFmtId="166" fontId="7" fillId="5" borderId="14" xfId="0" applyFont="true" applyBorder="true" applyAlignment="true" applyProtection="false">
      <alignment horizontal="general" vertical="bottom" textRotation="0" wrapText="true" indent="0" shrinkToFit="false"/>
      <protection locked="true" hidden="false"/>
    </xf>
    <xf numFmtId="166" fontId="0" fillId="0" borderId="14" xfId="0" applyFont="false" applyBorder="true" applyAlignment="false" applyProtection="false">
      <alignment horizontal="general" vertical="bottom" textRotation="0" wrapText="false" indent="0" shrinkToFit="false"/>
      <protection locked="true" hidden="false"/>
    </xf>
    <xf numFmtId="165" fontId="0" fillId="0" borderId="14" xfId="0" applyFont="false" applyBorder="true" applyAlignment="false" applyProtection="false">
      <alignment horizontal="general" vertical="bottom" textRotation="0" wrapText="false" indent="0" shrinkToFit="false"/>
      <protection locked="true" hidden="false"/>
    </xf>
    <xf numFmtId="164" fontId="19" fillId="14" borderId="4" xfId="0" applyFont="true" applyBorder="true" applyAlignment="true" applyProtection="false">
      <alignment horizontal="general" vertical="bottom" textRotation="0" wrapText="true" indent="0" shrinkToFit="false"/>
      <protection locked="true" hidden="false"/>
    </xf>
    <xf numFmtId="166" fontId="19" fillId="14" borderId="4" xfId="0" applyFont="true" applyBorder="true" applyAlignment="true" applyProtection="false">
      <alignment horizontal="general" vertical="bottom" textRotation="0" wrapText="true" indent="0" shrinkToFit="false"/>
      <protection locked="true" hidden="false"/>
    </xf>
    <xf numFmtId="164" fontId="19" fillId="6" borderId="4" xfId="0" applyFont="true" applyBorder="true" applyAlignment="true" applyProtection="false">
      <alignment horizontal="general" vertical="bottom" textRotation="0" wrapText="true" indent="0" shrinkToFit="false"/>
      <protection locked="true" hidden="false"/>
    </xf>
    <xf numFmtId="166" fontId="19" fillId="6" borderId="4" xfId="0" applyFont="true" applyBorder="true" applyAlignment="true" applyProtection="false">
      <alignment horizontal="general" vertical="bottom" textRotation="0" wrapText="true" indent="0" shrinkToFit="false"/>
      <protection locked="true" hidden="false"/>
    </xf>
    <xf numFmtId="165" fontId="19" fillId="14" borderId="4" xfId="0" applyFont="true" applyBorder="true" applyAlignment="true" applyProtection="false">
      <alignment horizontal="general" vertical="bottom" textRotation="0" wrapText="true" indent="0" shrinkToFit="false"/>
      <protection locked="true" hidden="false"/>
    </xf>
    <xf numFmtId="173" fontId="19" fillId="6" borderId="4" xfId="0" applyFont="true" applyBorder="true" applyAlignment="true" applyProtection="false">
      <alignment horizontal="general" vertical="bottom" textRotation="0" wrapText="true" indent="0" shrinkToFit="false"/>
      <protection locked="true" hidden="false"/>
    </xf>
    <xf numFmtId="173" fontId="19" fillId="14" borderId="4" xfId="0" applyFont="true" applyBorder="true" applyAlignment="true" applyProtection="false">
      <alignment horizontal="general" vertical="bottom" textRotation="0" wrapText="true" indent="0" shrinkToFit="false"/>
      <protection locked="true" hidden="false"/>
    </xf>
    <xf numFmtId="174" fontId="19" fillId="14" borderId="4" xfId="0" applyFont="true" applyBorder="true" applyAlignment="true" applyProtection="false">
      <alignment horizontal="general" vertical="bottom" textRotation="0" wrapText="true" indent="0" shrinkToFit="false"/>
      <protection locked="true" hidden="false"/>
    </xf>
    <xf numFmtId="174" fontId="19" fillId="6" borderId="4" xfId="0" applyFont="true" applyBorder="true" applyAlignment="true" applyProtection="false">
      <alignment horizontal="general" vertical="bottom" textRotation="0" wrapText="true" indent="0" shrinkToFit="false"/>
      <protection locked="true" hidden="false"/>
    </xf>
    <xf numFmtId="165" fontId="19" fillId="6" borderId="4"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6" applyFont="true" applyBorder="false" applyAlignment="false" applyProtection="false">
      <alignment horizontal="left" vertical="center" textRotation="0" wrapText="false" indent="0" shrinkToFit="false"/>
      <protection locked="true" hidden="false"/>
    </xf>
    <xf numFmtId="164" fontId="0" fillId="0" borderId="0" xfId="26" applyFont="false" applyBorder="false" applyAlignment="false" applyProtection="false">
      <alignment horizontal="left" vertical="center" textRotation="0" wrapText="false" indent="0" shrinkToFit="false"/>
      <protection locked="true" hidden="false"/>
    </xf>
    <xf numFmtId="164" fontId="9" fillId="0" borderId="0" xfId="29" applyFont="true" applyBorder="false" applyAlignment="false" applyProtection="false">
      <alignment horizontal="left" vertical="center" textRotation="0" wrapText="false" indent="0" shrinkToFit="false"/>
      <protection locked="true" hidden="false"/>
    </xf>
    <xf numFmtId="169" fontId="0" fillId="0" borderId="2" xfId="34" applyFont="false" applyBorder="true" applyAlignment="false" applyProtection="false">
      <alignment horizontal="right" vertical="center" textRotation="0" wrapText="false" indent="0" shrinkToFit="false"/>
      <protection locked="true" hidden="false"/>
    </xf>
    <xf numFmtId="165" fontId="0" fillId="0" borderId="2" xfId="30" applyFont="false" applyBorder="true" applyAlignment="false" applyProtection="false">
      <alignment horizontal="right" vertical="center" textRotation="0" wrapText="false" indent="0" shrinkToFit="false"/>
      <protection locked="true" hidden="false"/>
    </xf>
    <xf numFmtId="169" fontId="0" fillId="6" borderId="2" xfId="42" applyFont="false" applyBorder="true" applyAlignment="false" applyProtection="false">
      <alignment horizontal="right" vertical="center" textRotation="0" wrapText="false" indent="0" shrinkToFit="false"/>
      <protection locked="true" hidden="false"/>
    </xf>
    <xf numFmtId="165" fontId="0" fillId="6" borderId="2" xfId="38" applyFont="false" applyBorder="true" applyAlignment="false" applyProtection="false">
      <alignment horizontal="right" vertical="center" textRotation="0" wrapText="false" indent="0" shrinkToFit="false"/>
      <protection locked="true" hidden="false"/>
    </xf>
    <xf numFmtId="164" fontId="0" fillId="0" borderId="10" xfId="26" applyFont="true" applyBorder="true" applyAlignment="false" applyProtection="false">
      <alignment horizontal="left" vertical="center" textRotation="0" wrapText="false" indent="0" shrinkToFit="false"/>
      <protection locked="true" hidden="false"/>
    </xf>
    <xf numFmtId="169" fontId="0" fillId="0" borderId="11" xfId="34" applyFont="false" applyBorder="true" applyAlignment="false" applyProtection="false">
      <alignment horizontal="right" vertical="center" textRotation="0" wrapText="false" indent="0" shrinkToFit="false"/>
      <protection locked="true" hidden="false"/>
    </xf>
    <xf numFmtId="165" fontId="0" fillId="0" borderId="11" xfId="30" applyFont="false" applyBorder="true" applyAlignment="false" applyProtection="false">
      <alignment horizontal="right" vertical="center" textRotation="0" wrapText="false" indent="0" shrinkToFit="false"/>
      <protection locked="true" hidden="false"/>
    </xf>
    <xf numFmtId="164" fontId="0" fillId="0" borderId="11" xfId="26" applyFont="false" applyBorder="true" applyAlignment="false" applyProtection="false">
      <alignment horizontal="left" vertical="center" textRotation="0" wrapText="false" indent="0" shrinkToFit="false"/>
      <protection locked="true" hidden="false"/>
    </xf>
    <xf numFmtId="164" fontId="8" fillId="0" borderId="12" xfId="28" applyFont="true" applyBorder="true" applyAlignment="false" applyProtection="false">
      <alignment horizontal="left" vertical="top" textRotation="0" wrapText="true" indent="0" shrinkToFit="false"/>
      <protection locked="true" hidden="false"/>
    </xf>
    <xf numFmtId="164" fontId="8" fillId="0" borderId="0" xfId="28" applyFont="true" applyBorder="false" applyAlignment="false" applyProtection="false">
      <alignment horizontal="left" vertical="top" textRotation="0" wrapText="true" indent="0" shrinkToFit="false"/>
      <protection locked="true" hidden="false"/>
    </xf>
    <xf numFmtId="166" fontId="0" fillId="0" borderId="2" xfId="31" applyFont="false" applyBorder="true" applyAlignment="false" applyProtection="false">
      <alignment horizontal="right" vertical="center" textRotation="0" wrapText="false" indent="0" shrinkToFit="false"/>
      <protection locked="true" hidden="false"/>
    </xf>
    <xf numFmtId="166" fontId="0" fillId="6" borderId="2" xfId="39" applyFont="false" applyBorder="true" applyAlignment="false" applyProtection="false">
      <alignment horizontal="right" vertical="center" textRotation="0" wrapText="false" indent="0" shrinkToFit="false"/>
      <protection locked="true" hidden="false"/>
    </xf>
    <xf numFmtId="164" fontId="6" fillId="4" borderId="0" xfId="23" applyFont="true" applyBorder="false" applyAlignment="false" applyProtection="false">
      <alignment horizontal="left" vertical="center" textRotation="0" wrapText="false" indent="0" shrinkToFit="false"/>
      <protection locked="true" hidden="false"/>
    </xf>
    <xf numFmtId="169" fontId="0" fillId="6" borderId="11" xfId="42" applyFont="false" applyBorder="true" applyAlignment="false" applyProtection="false">
      <alignment horizontal="right" vertical="center" textRotation="0" wrapText="false" indent="0" shrinkToFit="false"/>
      <protection locked="true" hidden="false"/>
    </xf>
    <xf numFmtId="164" fontId="15" fillId="6" borderId="5" xfId="61" applyFont="true" applyBorder="true" applyAlignment="false" applyProtection="false">
      <alignment horizontal="left" vertical="center" textRotation="0" wrapText="false" indent="0" shrinkToFit="false"/>
      <protection locked="true" hidden="false"/>
    </xf>
    <xf numFmtId="169" fontId="0" fillId="0" borderId="7" xfId="34" applyFont="false" applyBorder="true" applyAlignment="false" applyProtection="false">
      <alignment horizontal="right" vertical="center" textRotation="0" wrapText="false" indent="0" shrinkToFit="false"/>
      <protection locked="true" hidden="false"/>
    </xf>
    <xf numFmtId="164" fontId="15" fillId="6" borderId="8" xfId="61" applyFont="true" applyBorder="true" applyAlignment="false" applyProtection="false">
      <alignment horizontal="left" vertical="center" textRotation="0" wrapText="false" indent="0" shrinkToFit="false"/>
      <protection locked="true" hidden="false"/>
    </xf>
    <xf numFmtId="169" fontId="0" fillId="0" borderId="9" xfId="34" applyFont="false" applyBorder="true" applyAlignment="false" applyProtection="false">
      <alignment horizontal="right" vertical="center" textRotation="0" wrapText="false" indent="0" shrinkToFit="false"/>
      <protection locked="true" hidden="false"/>
    </xf>
    <xf numFmtId="165" fontId="16" fillId="6" borderId="9" xfId="62" applyFont="false" applyBorder="true" applyAlignment="false" applyProtection="false">
      <alignment horizontal="right" vertical="center" textRotation="0" wrapText="false" indent="0" shrinkToFit="false"/>
      <protection locked="true" hidden="false"/>
    </xf>
    <xf numFmtId="166" fontId="0" fillId="0" borderId="9" xfId="31" applyFont="false" applyBorder="true" applyAlignment="false" applyProtection="false">
      <alignment horizontal="right" vertical="center" textRotation="0" wrapText="false" indent="0" shrinkToFit="false"/>
      <protection locked="true" hidden="false"/>
    </xf>
    <xf numFmtId="164" fontId="15" fillId="6" borderId="10" xfId="61" applyFont="true" applyBorder="true" applyAlignment="false" applyProtection="false">
      <alignment horizontal="left" vertical="center" textRotation="0" wrapText="false" indent="0" shrinkToFit="false"/>
      <protection locked="true" hidden="false"/>
    </xf>
    <xf numFmtId="166" fontId="0" fillId="0" borderId="12" xfId="31" applyFont="false" applyBorder="true" applyAlignment="false" applyProtection="false">
      <alignment horizontal="right" vertical="center" textRotation="0" wrapText="false" indent="0" shrinkToFit="false"/>
      <protection locked="true" hidden="false"/>
    </xf>
    <xf numFmtId="164" fontId="7" fillId="5" borderId="5" xfId="25" applyFont="true" applyBorder="true" applyAlignment="false" applyProtection="false">
      <alignment horizontal="right" vertical="center" textRotation="0" wrapText="true" indent="0" shrinkToFit="false"/>
      <protection locked="true" hidden="false"/>
    </xf>
    <xf numFmtId="165" fontId="0" fillId="0" borderId="8" xfId="30" applyFont="false" applyBorder="true" applyAlignment="false" applyProtection="false">
      <alignment horizontal="right" vertical="center" textRotation="0" wrapText="false" indent="0" shrinkToFit="false"/>
      <protection locked="true" hidden="false"/>
    </xf>
    <xf numFmtId="164" fontId="0" fillId="0" borderId="9" xfId="26" applyFont="true" applyBorder="true" applyAlignment="false" applyProtection="false">
      <alignment horizontal="left" vertical="center" textRotation="0" wrapText="false" indent="0" shrinkToFit="false"/>
      <protection locked="true" hidden="false"/>
    </xf>
    <xf numFmtId="165" fontId="0" fillId="0" borderId="10" xfId="30" applyFont="false" applyBorder="true" applyAlignment="false" applyProtection="false">
      <alignment horizontal="right" vertical="center" textRotation="0" wrapText="false" indent="0" shrinkToFit="false"/>
      <protection locked="true" hidden="false"/>
    </xf>
    <xf numFmtId="164" fontId="0" fillId="0" borderId="12" xfId="26" applyFont="true" applyBorder="true" applyAlignment="false" applyProtection="false">
      <alignment horizontal="left" vertical="center" textRotation="0" wrapText="false" indent="0" shrinkToFit="false"/>
      <protection locked="true" hidden="false"/>
    </xf>
    <xf numFmtId="166" fontId="0" fillId="6" borderId="11" xfId="39" applyFont="false" applyBorder="true" applyAlignment="false" applyProtection="false">
      <alignment horizontal="right" vertical="center" textRotation="0" wrapText="false" indent="0" shrinkToFit="false"/>
      <protection locked="true" hidden="false"/>
    </xf>
    <xf numFmtId="166" fontId="0" fillId="0" borderId="8" xfId="31" applyFont="false" applyBorder="true" applyAlignment="false" applyProtection="false">
      <alignment horizontal="right" vertical="center"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6" fontId="0" fillId="0" borderId="10" xfId="31" applyFont="false" applyBorder="true" applyAlignment="false" applyProtection="false">
      <alignment horizontal="right" vertical="center"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7" fillId="5" borderId="7" xfId="25" applyFont="true" applyBorder="true" applyAlignment="false" applyProtection="false">
      <alignment horizontal="right" vertical="center" textRotation="0" wrapText="true" indent="0" shrinkToFit="false"/>
      <protection locked="true" hidden="false"/>
    </xf>
    <xf numFmtId="165" fontId="0" fillId="0" borderId="9" xfId="30" applyFont="false" applyBorder="true" applyAlignment="false" applyProtection="false">
      <alignment horizontal="right" vertical="center" textRotation="0" wrapText="false" indent="0" shrinkToFit="false"/>
      <protection locked="true" hidden="false"/>
    </xf>
    <xf numFmtId="165" fontId="0" fillId="0" borderId="12" xfId="30" applyFont="false" applyBorder="true" applyAlignment="false" applyProtection="false">
      <alignment horizontal="right" vertical="center" textRotation="0" wrapText="false" indent="0" shrinkToFit="false"/>
      <protection locked="true" hidden="false"/>
    </xf>
    <xf numFmtId="166" fontId="0" fillId="0" borderId="9" xfId="31" applyFont="false" applyBorder="true" applyAlignment="false" applyProtection="false">
      <alignment horizontal="right" vertical="center" textRotation="0" wrapText="false" indent="0" shrinkToFit="false"/>
      <protection locked="true" hidden="false"/>
    </xf>
    <xf numFmtId="165" fontId="0" fillId="6" borderId="8" xfId="38" applyFont="false" applyBorder="true" applyAlignment="false" applyProtection="false">
      <alignment horizontal="right" vertical="center" textRotation="0" wrapText="false" indent="0" shrinkToFit="false"/>
      <protection locked="true" hidden="false"/>
    </xf>
    <xf numFmtId="166" fontId="0" fillId="6" borderId="9" xfId="39" applyFont="false" applyBorder="true" applyAlignment="false" applyProtection="false">
      <alignment horizontal="right" vertical="center" textRotation="0" wrapText="false" indent="0" shrinkToFit="false"/>
      <protection locked="true" hidden="false"/>
    </xf>
    <xf numFmtId="165" fontId="0" fillId="6" borderId="10" xfId="38" applyFont="false" applyBorder="true" applyAlignment="false" applyProtection="false">
      <alignment horizontal="right" vertical="center" textRotation="0" wrapText="false" indent="0" shrinkToFit="false"/>
      <protection locked="true" hidden="false"/>
    </xf>
    <xf numFmtId="165" fontId="0" fillId="6" borderId="11" xfId="38" applyFont="false" applyBorder="true" applyAlignment="false" applyProtection="false">
      <alignment horizontal="right" vertical="center" textRotation="0" wrapText="false" indent="0" shrinkToFit="false"/>
      <protection locked="true" hidden="false"/>
    </xf>
    <xf numFmtId="166" fontId="0" fillId="6" borderId="12" xfId="39" applyFont="false" applyBorder="true" applyAlignment="false" applyProtection="false">
      <alignment horizontal="right" vertical="center" textRotation="0" wrapText="false" indent="0" shrinkToFit="false"/>
      <protection locked="true" hidden="false"/>
    </xf>
    <xf numFmtId="168" fontId="0" fillId="0" borderId="2" xfId="33" applyFont="false" applyBorder="true" applyAlignment="false" applyProtection="false">
      <alignment horizontal="right" vertical="center" textRotation="0" wrapText="false" indent="0" shrinkToFit="false"/>
      <protection locked="true" hidden="false"/>
    </xf>
    <xf numFmtId="166" fontId="0" fillId="0" borderId="12" xfId="31" applyFont="false" applyBorder="true" applyAlignment="false" applyProtection="false">
      <alignment horizontal="right" vertical="center" textRotation="0" wrapText="false" indent="0" shrinkToFit="false"/>
      <protection locked="true" hidden="false"/>
    </xf>
    <xf numFmtId="165" fontId="0" fillId="6" borderId="9" xfId="38" applyFont="false" applyBorder="true" applyAlignment="false" applyProtection="false">
      <alignment horizontal="right" vertical="center" textRotation="0" wrapText="false" indent="0" shrinkToFit="false"/>
      <protection locked="true" hidden="false"/>
    </xf>
    <xf numFmtId="172" fontId="0" fillId="0" borderId="7" xfId="37" applyFont="false" applyBorder="true" applyAlignment="false" applyProtection="false">
      <alignment horizontal="right" vertical="center" textRotation="0" wrapText="false" indent="0" shrinkToFit="false"/>
      <protection locked="true" hidden="false"/>
    </xf>
    <xf numFmtId="172" fontId="0" fillId="0" borderId="9" xfId="37" applyFont="false" applyBorder="true" applyAlignment="false" applyProtection="false">
      <alignment horizontal="right" vertical="center" textRotation="0" wrapText="false" indent="0" shrinkToFit="false"/>
      <protection locked="true" hidden="false"/>
    </xf>
    <xf numFmtId="172" fontId="0" fillId="0" borderId="12" xfId="37" applyFont="false" applyBorder="true" applyAlignment="false" applyProtection="false">
      <alignment horizontal="right" vertical="center" textRotation="0" wrapText="false" indent="0" shrinkToFit="false"/>
      <protection locked="true" hidden="false"/>
    </xf>
    <xf numFmtId="168" fontId="0" fillId="6" borderId="2" xfId="41" applyFont="false" applyBorder="true" applyAlignment="false" applyProtection="false">
      <alignment horizontal="right" vertical="center" textRotation="0" wrapText="false" indent="0" shrinkToFit="false"/>
      <protection locked="true" hidden="false"/>
    </xf>
    <xf numFmtId="168" fontId="0" fillId="0" borderId="8" xfId="33" applyFont="false" applyBorder="true" applyAlignment="false" applyProtection="false">
      <alignment horizontal="right" vertical="center" textRotation="0" wrapText="false" indent="0" shrinkToFit="false"/>
      <protection locked="true" hidden="false"/>
    </xf>
    <xf numFmtId="168" fontId="0" fillId="6" borderId="8" xfId="41" applyFont="false" applyBorder="true" applyAlignment="false" applyProtection="false">
      <alignment horizontal="right" vertical="center" textRotation="0" wrapText="false" indent="0" shrinkToFit="false"/>
      <protection locked="true" hidden="false"/>
    </xf>
    <xf numFmtId="175" fontId="0" fillId="6" borderId="2" xfId="46" applyFont="true" applyBorder="true" applyAlignment="false" applyProtection="false">
      <alignment horizontal="left" vertical="center" textRotation="0" wrapText="false" indent="0" shrinkToFit="false"/>
      <protection locked="true" hidden="false"/>
    </xf>
    <xf numFmtId="168" fontId="0" fillId="6" borderId="10" xfId="41" applyFont="false" applyBorder="true" applyAlignment="false" applyProtection="false">
      <alignment horizontal="right" vertical="center" textRotation="0" wrapText="false" indent="0" shrinkToFit="false"/>
      <protection locked="true" hidden="false"/>
    </xf>
    <xf numFmtId="175" fontId="0" fillId="0" borderId="0" xfId="26" applyFont="true" applyBorder="false" applyAlignment="false" applyProtection="false">
      <alignment horizontal="left" vertical="center" textRotation="0" wrapText="false" indent="0" shrinkToFit="false"/>
      <protection locked="true" hidden="false"/>
    </xf>
  </cellXfs>
  <cellStyles count="54">
    <cellStyle name="Normal" xfId="0" builtinId="0"/>
    <cellStyle name="Comma" xfId="15" builtinId="3"/>
    <cellStyle name="Comma [0]" xfId="16" builtinId="6"/>
    <cellStyle name="Currency" xfId="17" builtinId="4"/>
    <cellStyle name="Currency [0]" xfId="18" builtinId="7"/>
    <cellStyle name="Percent" xfId="19" builtinId="5"/>
    <cellStyle name="P.Base" xfId="20"/>
    <cellStyle name="P.Title" xfId="21"/>
    <cellStyle name="P.Subtitle" xfId="22"/>
    <cellStyle name="P.Section" xfId="23"/>
    <cellStyle name="P.Header" xfId="24"/>
    <cellStyle name="P.HeaderNum" xfId="25"/>
    <cellStyle name="P.Label" xfId="26"/>
    <cellStyle name="P.LabelSub" xfId="27"/>
    <cellStyle name="P.Note" xfId="28"/>
    <cellStyle name="P.Stamp" xfId="29"/>
    <cellStyle name="P.Money" xfId="30"/>
    <cellStyle name="P.Pct" xfId="31"/>
    <cellStyle name="P.Pct2" xfId="32"/>
    <cellStyle name="P.Int" xfId="33"/>
    <cellStyle name="P.Dec2" xfId="34"/>
    <cellStyle name="P.Mult" xfId="35"/>
    <cellStyle name="P.Years" xfId="36"/>
    <cellStyle name="P.Days" xfId="37"/>
    <cellStyle name="P.Money.Alt" xfId="38"/>
    <cellStyle name="P.Pct.Alt" xfId="39"/>
    <cellStyle name="P.Pct2.Alt" xfId="40"/>
    <cellStyle name="P.Int.Alt" xfId="41"/>
    <cellStyle name="P.Dec2.Alt" xfId="42"/>
    <cellStyle name="P.Mult.Alt" xfId="43"/>
    <cellStyle name="P.Years.Alt" xfId="44"/>
    <cellStyle name="P.Days.Alt" xfId="45"/>
    <cellStyle name="P.Label.Alt" xfId="46"/>
    <cellStyle name="P.Note.Alt" xfId="47"/>
    <cellStyle name="P.In.Money" xfId="48"/>
    <cellStyle name="P.In.Pct" xfId="49"/>
    <cellStyle name="P.In.Int" xfId="50"/>
    <cellStyle name="P.In.Mult" xfId="51"/>
    <cellStyle name="P.In.Dec2" xfId="52"/>
    <cellStyle name="P.In.Text" xfId="53"/>
    <cellStyle name="P.Conf.Verificado" xfId="54"/>
    <cellStyle name="P.Conf.Estimado" xfId="55"/>
    <cellStyle name="P.Conf.Supuesto" xfId="56"/>
    <cellStyle name="P.Conf.Pendiente" xfId="57"/>
    <cellStyle name="P.Total" xfId="58"/>
    <cellStyle name="P.Total.Label" xfId="59"/>
    <cellStyle name="P.Total.Pct" xfId="60"/>
    <cellStyle name="P.KPI.Label" xfId="61"/>
    <cellStyle name="P.KPI.Value" xfId="62"/>
    <cellStyle name="P.KPI.Note" xfId="63"/>
    <cellStyle name="P.Good" xfId="64"/>
    <cellStyle name="P.Bad" xfId="65"/>
    <cellStyle name="P.Warn" xfId="66"/>
    <cellStyle name="P.Neutral" xfId="67"/>
  </cellStyles>
  <dxfs count="21">
    <dxf>
      <font>
        <name val="Arial"/>
        <family val="2"/>
        <b val="1"/>
        <color rgb="FF1D6F42"/>
        <sz val="10"/>
      </font>
      <fill>
        <patternFill>
          <bgColor rgb="FFE2F0D9"/>
        </patternFill>
      </fill>
      <alignment horizontal="right" vertical="center" textRotation="0" wrapText="false" indent="0" shrinkToFit="false"/>
    </dxf>
    <dxf>
      <font>
        <name val="Arial"/>
        <family val="2"/>
        <b val="1"/>
        <color rgb="FFB42318"/>
        <sz val="10"/>
      </font>
      <fill>
        <patternFill>
          <bgColor rgb="FFFCE4D6"/>
        </patternFill>
      </fill>
      <alignment horizontal="right" vertical="center" textRotation="0" wrapText="false" indent="0" shrinkToFit="false"/>
    </dxf>
    <dxf>
      <font>
        <name val="Arial"/>
        <family val="2"/>
        <b val="1"/>
        <color rgb="FF9A6700"/>
        <sz val="10"/>
      </font>
      <fill>
        <patternFill>
          <bgColor rgb="FFFFF4CE"/>
        </patternFill>
      </fill>
      <alignment horizontal="right" vertical="center" textRotation="0" wrapText="false" indent="0" shrinkToFit="false"/>
    </dxf>
    <dxf>
      <fill>
        <patternFill patternType="solid">
          <fgColor rgb="FFBDD7EE"/>
          <bgColor rgb="FF000000"/>
        </patternFill>
      </fill>
    </dxf>
    <dxf>
      <fill>
        <patternFill patternType="solid">
          <fgColor rgb="FFF7F9FB"/>
          <bgColor rgb="FF000000"/>
        </patternFill>
      </fill>
    </dxf>
    <dxf>
      <fill>
        <patternFill patternType="solid">
          <bgColor rgb="FF000000"/>
        </patternFill>
      </fill>
    </dxf>
    <dxf>
      <fill>
        <patternFill patternType="solid">
          <fgColor rgb="FF17324D"/>
          <bgColor rgb="FF000000"/>
        </patternFill>
      </fill>
    </dxf>
    <dxf>
      <fill>
        <patternFill patternType="solid">
          <fgColor rgb="FF1F2937"/>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F0D9"/>
          <bgColor rgb="FF000000"/>
        </patternFill>
      </fill>
    </dxf>
    <dxf>
      <fill>
        <patternFill patternType="solid">
          <fgColor rgb="FFF1F3F5"/>
          <bgColor rgb="FF000000"/>
        </patternFill>
      </fill>
    </dxf>
    <dxf>
      <fill>
        <patternFill patternType="solid">
          <fgColor rgb="FFFCE4D6"/>
          <bgColor rgb="FF000000"/>
        </patternFill>
      </fill>
    </dxf>
    <dxf>
      <fill>
        <patternFill patternType="solid">
          <fgColor rgb="FFFFF4CE"/>
          <bgColor rgb="FF000000"/>
        </patternFill>
      </fill>
    </dxf>
    <dxf>
      <fill>
        <patternFill patternType="solid">
          <fgColor rgb="FF1D6F42"/>
          <bgColor rgb="FF000000"/>
        </patternFill>
      </fill>
    </dxf>
    <dxf>
      <fill>
        <patternFill patternType="solid">
          <fgColor rgb="FF6B7280"/>
          <bgColor rgb="FF000000"/>
        </patternFill>
      </fill>
    </dxf>
    <dxf>
      <fill>
        <patternFill patternType="solid">
          <fgColor rgb="FF9A6700"/>
          <bgColor rgb="FF000000"/>
        </patternFill>
      </fill>
    </dxf>
    <dxf>
      <fill>
        <patternFill patternType="solid">
          <fgColor rgb="FFB42318"/>
          <bgColor rgb="FF000000"/>
        </patternFill>
      </fill>
    </dxf>
    <dxf>
      <font>
        <name val="Arial"/>
        <family val="2"/>
        <b val="1"/>
        <color rgb="FF1D6F42"/>
        <sz val="10"/>
      </font>
      <fill>
        <patternFill>
          <bgColor rgb="FFE2F0D9"/>
        </patternFill>
      </fill>
      <alignment horizontal="center" vertical="center" textRotation="0" wrapText="false" indent="0" shrinkToFit="false"/>
    </dxf>
    <dxf>
      <font>
        <name val="Arial"/>
        <family val="2"/>
        <b val="1"/>
        <color rgb="FFB42318"/>
        <sz val="10"/>
      </font>
      <fill>
        <patternFill>
          <bgColor rgb="FFFCE4D6"/>
        </patternFill>
      </fill>
      <alignment horizontal="center" vertical="center" textRotation="0" wrapText="false" indent="0" shrinkToFit="false"/>
    </dxf>
    <dxf>
      <font>
        <name val="Arial"/>
        <family val="2"/>
        <b val="1"/>
        <color rgb="FF6B7280"/>
        <sz val="10"/>
      </font>
      <fill>
        <patternFill>
          <bgColor rgb="FFF1F3F5"/>
        </patternFill>
      </fill>
      <alignment horizontal="center" vertical="center" textRotation="0" wrapText="false" indent="0" shrinkToFit="false"/>
    </dxf>
  </dxfs>
  <colors>
    <indexedColors>
      <rgbColor rgb="FF000000"/>
      <rgbColor rgb="FFFFFFFF"/>
      <rgbColor rgb="FFC00000"/>
      <rgbColor rgb="FFF6FAFD"/>
      <rgbColor rgb="FF0000FF"/>
      <rgbColor rgb="FFFCE4D6"/>
      <rgbColor rgb="FFFF00FF"/>
      <rgbColor rgb="FFE8F3EC"/>
      <rgbColor rgb="FF7E0021"/>
      <rgbColor rgb="FF579D1C"/>
      <rgbColor rgb="FF000080"/>
      <rgbColor rgb="FF9A6700"/>
      <rgbColor rgb="FF800080"/>
      <rgbColor rgb="FF1D6F42"/>
      <rgbColor rgb="FFB8C7D1"/>
      <rgbColor rgb="FF8CB9A0"/>
      <rgbColor rgb="FF5B9BD5"/>
      <rgbColor rgb="FF7030A0"/>
      <rgbColor rgb="FFFFF4CE"/>
      <rgbColor rgb="FFD9EAF7"/>
      <rgbColor rgb="FF660066"/>
      <rgbColor rgb="FFCCD6DD"/>
      <rgbColor rgb="FF004586"/>
      <rgbColor rgb="FFBDD7EE"/>
      <rgbColor rgb="FF000080"/>
      <rgbColor rgb="FFFF00FF"/>
      <rgbColor rgb="FFFCE8E6"/>
      <rgbColor rgb="FFEAF2F8"/>
      <rgbColor rgb="FF800080"/>
      <rgbColor rgb="FF800000"/>
      <rgbColor rgb="FF008080"/>
      <rgbColor rgb="FF0000FF"/>
      <rgbColor rgb="FFF1F3F5"/>
      <rgbColor rgb="FFE7F0F7"/>
      <rgbColor rgb="FFE2F0D9"/>
      <rgbColor rgb="FFFFF2CC"/>
      <rgbColor rgb="FF83CAFF"/>
      <rgbColor rgb="FFD9D9D9"/>
      <rgbColor rgb="FFB3B3B3"/>
      <rgbColor rgb="FFF4B183"/>
      <rgbColor rgb="FF2E75B6"/>
      <rgbColor rgb="FFB7C9D6"/>
      <rgbColor rgb="FF70AD47"/>
      <rgbColor rgb="FFFFD320"/>
      <rgbColor rgb="FFD7E4F2"/>
      <rgbColor rgb="FFFF420E"/>
      <rgbColor rgb="FF6B7280"/>
      <rgbColor rgb="FFA5A5A5"/>
      <rgbColor rgb="FF17324D"/>
      <rgbColor rgb="FF548235"/>
      <rgbColor rgb="FF003300"/>
      <rgbColor rgb="FF333300"/>
      <rgbColor rgb="FFB42318"/>
      <rgbColor rgb="FFF7F9FB"/>
      <rgbColor rgb="FF1F4E7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Flujo libre por año (CLP)</a:t>
            </a:r>
          </a:p>
        </c:rich>
      </c:tx>
      <c:overlay val="0"/>
      <c:spPr>
        <a:noFill/>
        <a:ln w="0">
          <a:noFill/>
        </a:ln>
      </c:spPr>
    </c:title>
    <c:autoTitleDeleted val="0"/>
    <c:plotArea>
      <c:barChart>
        <c:barDir val="bar"/>
        <c:grouping val="clustered"/>
        <c:varyColors val="0"/>
        <c:ser>
          <c:idx val="0"/>
          <c:order val="0"/>
          <c:tx>
            <c:strRef>
              <c:f>Flujo_Caja!$B$4</c:f>
              <c:strCache>
                <c:ptCount val="1"/>
                <c:pt idx="0">
                  <c:v>Año 0</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Flujo_Caja!$B$20</c:f>
              <c:numCache>
                <c:formatCode>[$$-es-CL]\ #,##0;[RED]\([$ $-es-CL]\ #,##0\);\-</c:formatCode>
                <c:ptCount val="1"/>
                <c:pt idx="0">
                  <c:v>-38467030.0885877</c:v>
                </c:pt>
              </c:numCache>
            </c:numRef>
          </c:val>
        </c:ser>
        <c:ser>
          <c:idx val="1"/>
          <c:order val="1"/>
          <c:tx>
            <c:strRef>
              <c:f>Flujo_Caja!$C$4</c:f>
              <c:strCache>
                <c:ptCount val="1"/>
                <c:pt idx="0">
                  <c:v>Año 1</c:v>
                </c:pt>
              </c:strCache>
            </c:strRef>
          </c:tx>
          <c:spPr>
            <a:solidFill>
              <a:srgbClr val="ff420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Flujo_Caja!$C$20</c:f>
              <c:numCache>
                <c:formatCode>[$$-es-CL]\ #,##0;[RED]\([$ $-es-CL]\ #,##0\);\-</c:formatCode>
                <c:ptCount val="1"/>
                <c:pt idx="0">
                  <c:v>-18558189.9648</c:v>
                </c:pt>
              </c:numCache>
            </c:numRef>
          </c:val>
        </c:ser>
        <c:ser>
          <c:idx val="2"/>
          <c:order val="2"/>
          <c:tx>
            <c:strRef>
              <c:f>Flujo_Caja!$D$4</c:f>
              <c:strCache>
                <c:ptCount val="1"/>
                <c:pt idx="0">
                  <c:v>Año 2</c:v>
                </c:pt>
              </c:strCache>
            </c:strRef>
          </c:tx>
          <c:spPr>
            <a:solidFill>
              <a:srgbClr val="ffd32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Flujo_Caja!$D$20</c:f>
              <c:numCache>
                <c:formatCode>[$$-es-CL]\ #,##0;[RED]\([$ $-es-CL]\ #,##0\);\-</c:formatCode>
                <c:ptCount val="1"/>
                <c:pt idx="0">
                  <c:v>-19332842.9634266</c:v>
                </c:pt>
              </c:numCache>
            </c:numRef>
          </c:val>
        </c:ser>
        <c:ser>
          <c:idx val="3"/>
          <c:order val="3"/>
          <c:tx>
            <c:strRef>
              <c:f>Flujo_Caja!$E$4</c:f>
              <c:strCache>
                <c:ptCount val="1"/>
                <c:pt idx="0">
                  <c:v>Año 3</c:v>
                </c:pt>
              </c:strCache>
            </c:strRef>
          </c:tx>
          <c:spPr>
            <a:solidFill>
              <a:srgbClr val="579d1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Flujo_Caja!$E$20</c:f>
              <c:numCache>
                <c:formatCode>[$$-es-CL]\ #,##0;[RED]\([$ $-es-CL]\ #,##0\);\-</c:formatCode>
                <c:ptCount val="1"/>
                <c:pt idx="0">
                  <c:v>-19912828.2523294</c:v>
                </c:pt>
              </c:numCache>
            </c:numRef>
          </c:val>
        </c:ser>
        <c:ser>
          <c:idx val="4"/>
          <c:order val="4"/>
          <c:tx>
            <c:strRef>
              <c:f>Flujo_Caja!$F$4</c:f>
              <c:strCache>
                <c:ptCount val="1"/>
                <c:pt idx="0">
                  <c:v>Año 4</c:v>
                </c:pt>
              </c:strCache>
            </c:strRef>
          </c:tx>
          <c:spPr>
            <a:solidFill>
              <a:srgbClr val="7e002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Flujo_Caja!$F$20</c:f>
              <c:numCache>
                <c:formatCode>[$$-es-CL]\ #,##0;[RED]\([$ $-es-CL]\ #,##0\);\-</c:formatCode>
                <c:ptCount val="1"/>
                <c:pt idx="0">
                  <c:v>-20510213.0998993</c:v>
                </c:pt>
              </c:numCache>
            </c:numRef>
          </c:val>
        </c:ser>
        <c:ser>
          <c:idx val="5"/>
          <c:order val="5"/>
          <c:tx>
            <c:strRef>
              <c:f>Flujo_Caja!$G$4</c:f>
              <c:strCache>
                <c:ptCount val="1"/>
                <c:pt idx="0">
                  <c:v>Año 5</c:v>
                </c:pt>
              </c:strCache>
            </c:strRef>
          </c:tx>
          <c:spPr>
            <a:solidFill>
              <a:srgbClr val="83caf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Flujo_Caja!$A$20</c:f>
              <c:strCache>
                <c:ptCount val="1"/>
                <c:pt idx="0">
                  <c:v>Flujo libre</c:v>
                </c:pt>
              </c:strCache>
            </c:strRef>
          </c:cat>
          <c:val>
            <c:numRef>
              <c:f>Flujo_Caja!$G$20</c:f>
              <c:numCache>
                <c:formatCode>[$$-es-CL]\ #,##0;[RED]\([$ $-es-CL]\ #,##0\);\-</c:formatCode>
                <c:ptCount val="1"/>
                <c:pt idx="0">
                  <c:v>-8712458.63110929</c:v>
                </c:pt>
              </c:numCache>
            </c:numRef>
          </c:val>
        </c:ser>
        <c:gapWidth val="100"/>
        <c:overlap val="0"/>
        <c:axId val="25580201"/>
        <c:axId val="18065159"/>
      </c:barChart>
      <c:catAx>
        <c:axId val="25580201"/>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18065159"/>
        <c:crosses val="autoZero"/>
        <c:auto val="1"/>
        <c:lblAlgn val="ctr"/>
        <c:lblOffset val="100"/>
        <c:noMultiLvlLbl val="0"/>
      </c:catAx>
      <c:valAx>
        <c:axId val="18065159"/>
        <c:scaling>
          <c:orientation val="minMax"/>
        </c:scaling>
        <c:delete val="0"/>
        <c:axPos val="l"/>
        <c:majorGridlines>
          <c:spPr>
            <a:ln w="0">
              <a:solidFill>
                <a:srgbClr val="b3b3b3"/>
              </a:solidFill>
            </a:ln>
          </c:spPr>
        </c:majorGridlines>
        <c:numFmt formatCode="[$$-es-CL]\ #,##0;[RED]\([$ $-es-CL]\ #,##0\);\-" sourceLinked="1"/>
        <c:majorTickMark val="out"/>
        <c:minorTickMark val="none"/>
        <c:tickLblPos val="nextTo"/>
        <c:spPr>
          <a:ln w="0">
            <a:solidFill>
              <a:srgbClr val="b3b3b3"/>
            </a:solidFill>
          </a:ln>
        </c:spPr>
        <c:txPr>
          <a:bodyPr/>
          <a:lstStyle/>
          <a:p>
            <a:pPr>
              <a:defRPr b="0" sz="1000" spc="-1" strike="noStrike">
                <a:latin typeface="Arial"/>
              </a:defRPr>
            </a:pPr>
          </a:p>
        </c:txPr>
        <c:crossAx val="25580201"/>
        <c:crosses val="autoZero"/>
        <c:crossBetween val="between"/>
      </c:valAx>
      <c:spPr>
        <a:solidFill>
          <a:srgbClr val="d9d9d9"/>
        </a:solidFill>
        <a:ln w="0">
          <a:noFill/>
        </a:ln>
      </c:spPr>
    </c:plotArea>
    <c:plotVisOnly val="0"/>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Impacto en el VAN (CLP)</a:t>
            </a:r>
          </a:p>
        </c:rich>
      </c:tx>
      <c:overlay val="0"/>
      <c:spPr>
        <a:noFill/>
        <a:ln w="0">
          <a:noFill/>
        </a:ln>
      </c:spPr>
    </c:title>
    <c:autoTitleDeleted val="0"/>
    <c:plotArea>
      <c:barChart>
        <c:barDir val="col"/>
        <c:grouping val="clustered"/>
        <c:varyColors val="0"/>
        <c:ser>
          <c:idx val="0"/>
          <c:order val="0"/>
          <c:tx>
            <c:strRef>
              <c:f>Tornado!$G$7</c:f>
              <c:strCache>
                <c:ptCount val="1"/>
                <c:pt idx="0">
                  <c:v>Δ VAN</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Tornado!$A$8:$A$24</c:f>
              <c:strCache>
                <c:ptCount val="17"/>
                <c:pt idx="0">
                  <c:v>Precio B2B familiar</c:v>
                </c:pt>
                <c:pt idx="1">
                  <c:v>Costo de personal</c:v>
                </c:pt>
                <c:pt idx="2">
                  <c:v>Capacidad instalada</c:v>
                </c:pt>
                <c:pt idx="3">
                  <c:v>Días de operación</c:v>
                </c:pt>
                <c:pt idx="4">
                  <c:v>Gramaje mozzarella</c:v>
                </c:pt>
                <c:pt idx="5">
                  <c:v>Mozzarella $/kg</c:v>
                </c:pt>
                <c:pt idx="6">
                  <c:v>Arriendo mensual</c:v>
                </c:pt>
                <c:pt idx="7">
                  <c:v>Otros ingredientes</c:v>
                </c:pt>
                <c:pt idx="8">
                  <c:v>TMAR</c:v>
                </c:pt>
                <c:pt idx="9">
                  <c:v>Habilitación sanitaria</c:v>
                </c:pt>
                <c:pt idx="10">
                  <c:v>Envolvente de equipos</c:v>
                </c:pt>
                <c:pt idx="11">
                  <c:v>Envase por unidad</c:v>
                </c:pt>
                <c:pt idx="12">
                  <c:v>Distribución por unidad</c:v>
                </c:pt>
                <c:pt idx="13">
                  <c:v>Plazo de cobro</c:v>
                </c:pt>
                <c:pt idx="14">
                  <c:v>Merma</c:v>
                </c:pt>
                <c:pt idx="15">
                  <c:v>Contingencia</c:v>
                </c:pt>
                <c:pt idx="16">
                  <c:v>Vida depreciable</c:v>
                </c:pt>
              </c:strCache>
            </c:strRef>
          </c:cat>
          <c:val>
            <c:numRef>
              <c:f>Tornado!$G$8:$G$24</c:f>
              <c:numCache>
                <c:formatCode>[$$-es-CL]\ #,##0;[RED]\([$ $-es-CL]\ #,##0\);\-</c:formatCode>
                <c:ptCount val="17"/>
                <c:pt idx="0">
                  <c:v>100596963.621398</c:v>
                </c:pt>
                <c:pt idx="1">
                  <c:v>36802772.1889914</c:v>
                </c:pt>
                <c:pt idx="2">
                  <c:v>34044345.0251502</c:v>
                </c:pt>
                <c:pt idx="3">
                  <c:v>34044345.0251502</c:v>
                </c:pt>
                <c:pt idx="4">
                  <c:v>18053544.5707819</c:v>
                </c:pt>
                <c:pt idx="5">
                  <c:v>18053523.0870604</c:v>
                </c:pt>
                <c:pt idx="6">
                  <c:v>12048097.3131298</c:v>
                </c:pt>
                <c:pt idx="7">
                  <c:v>11816046.8121442</c:v>
                </c:pt>
                <c:pt idx="8">
                  <c:v>9032125.08747709</c:v>
                </c:pt>
                <c:pt idx="9">
                  <c:v>6627958.7281702</c:v>
                </c:pt>
                <c:pt idx="10">
                  <c:v>6428165.84404966</c:v>
                </c:pt>
                <c:pt idx="11">
                  <c:v>6138206.13617882</c:v>
                </c:pt>
                <c:pt idx="12">
                  <c:v>4501351.16653113</c:v>
                </c:pt>
                <c:pt idx="13">
                  <c:v>3506804.81445341</c:v>
                </c:pt>
                <c:pt idx="14">
                  <c:v>1747219.91597618</c:v>
                </c:pt>
                <c:pt idx="15">
                  <c:v>1362378.21623163</c:v>
                </c:pt>
                <c:pt idx="16">
                  <c:v>0</c:v>
                </c:pt>
              </c:numCache>
            </c:numRef>
          </c:val>
        </c:ser>
        <c:gapWidth val="100"/>
        <c:overlap val="0"/>
        <c:axId val="1374937"/>
        <c:axId val="10205624"/>
      </c:barChart>
      <c:catAx>
        <c:axId val="1374937"/>
        <c:scaling>
          <c:orientation val="minMax"/>
        </c:scaling>
        <c:delete val="0"/>
        <c:axPos val="b"/>
        <c:numFmt formatCode="General" sourceLinked="1"/>
        <c:majorTickMark val="out"/>
        <c:minorTickMark val="none"/>
        <c:tickLblPos val="nextTo"/>
        <c:spPr>
          <a:ln w="0">
            <a:solidFill>
              <a:srgbClr val="b3b3b3"/>
            </a:solidFill>
          </a:ln>
        </c:spPr>
        <c:txPr>
          <a:bodyPr/>
          <a:lstStyle/>
          <a:p>
            <a:pPr>
              <a:defRPr b="0" sz="1000" spc="-1" strike="noStrike">
                <a:latin typeface="Arial"/>
              </a:defRPr>
            </a:pPr>
          </a:p>
        </c:txPr>
        <c:crossAx val="10205624"/>
        <c:crosses val="autoZero"/>
        <c:auto val="1"/>
        <c:lblAlgn val="ctr"/>
        <c:lblOffset val="100"/>
        <c:noMultiLvlLbl val="0"/>
      </c:catAx>
      <c:valAx>
        <c:axId val="10205624"/>
        <c:scaling>
          <c:orientation val="minMax"/>
        </c:scaling>
        <c:delete val="0"/>
        <c:axPos val="l"/>
        <c:majorGridlines>
          <c:spPr>
            <a:ln w="0">
              <a:solidFill>
                <a:srgbClr val="b3b3b3"/>
              </a:solidFill>
            </a:ln>
          </c:spPr>
        </c:majorGridlines>
        <c:numFmt formatCode="[$$-es-CL]\ #,##0;[RED]\([$ $-es-CL]\ #,##0\);\-" sourceLinked="1"/>
        <c:majorTickMark val="out"/>
        <c:minorTickMark val="none"/>
        <c:tickLblPos val="nextTo"/>
        <c:spPr>
          <a:ln w="0">
            <a:solidFill>
              <a:srgbClr val="b3b3b3"/>
            </a:solidFill>
          </a:ln>
        </c:spPr>
        <c:txPr>
          <a:bodyPr/>
          <a:lstStyle/>
          <a:p>
            <a:pPr>
              <a:defRPr b="0" sz="1000" spc="-1" strike="noStrike">
                <a:latin typeface="Arial"/>
              </a:defRPr>
            </a:pPr>
          </a:p>
        </c:txPr>
        <c:crossAx val="1374937"/>
        <c:crosses val="autoZero"/>
        <c:crossBetween val="between"/>
      </c:valAx>
      <c:spPr>
        <a:solidFill>
          <a:srgbClr val="d9d9d9"/>
        </a:solidFill>
        <a:ln w="0">
          <a:noFill/>
        </a:ln>
      </c:spPr>
    </c:plotArea>
    <c:plotVisOnly val="0"/>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Distribución del VAN</a:t>
            </a:r>
          </a:p>
        </c:rich>
      </c:tx>
      <c:overlay val="0"/>
      <c:spPr>
        <a:noFill/>
        <a:ln w="0">
          <a:noFill/>
        </a:ln>
      </c:spPr>
    </c:title>
    <c:autoTitleDeleted val="0"/>
    <c:plotArea>
      <c:barChart>
        <c:barDir val="bar"/>
        <c:grouping val="clustered"/>
        <c:varyColors val="0"/>
        <c:ser>
          <c:idx val="0"/>
          <c:order val="0"/>
          <c:tx>
            <c:strRef>
              <c:f>Monte_Carlo!$C$29</c:f>
              <c:strCache>
                <c:ptCount val="1"/>
                <c:pt idx="0">
                  <c:v>Casos</c:v>
                </c:pt>
              </c:strCache>
            </c:strRef>
          </c:tx>
          <c:spPr>
            <a:solidFill>
              <a:srgbClr val="00458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Monte_Carlo!$A$30:$A$49</c:f>
              <c:strCache>
                <c:ptCount val="20"/>
                <c:pt idx="0">
                  <c:v>( $ 153.653.077)</c:v>
                </c:pt>
                <c:pt idx="1">
                  <c:v>( $ 148.422.510)</c:v>
                </c:pt>
                <c:pt idx="2">
                  <c:v>( $ 143.191.943)</c:v>
                </c:pt>
                <c:pt idx="3">
                  <c:v>( $ 137.961.376)</c:v>
                </c:pt>
                <c:pt idx="4">
                  <c:v>( $ 132.730.809)</c:v>
                </c:pt>
                <c:pt idx="5">
                  <c:v>( $ 127.500.242)</c:v>
                </c:pt>
                <c:pt idx="6">
                  <c:v>( $ 122.269.675)</c:v>
                </c:pt>
                <c:pt idx="7">
                  <c:v>( $ 117.039.108)</c:v>
                </c:pt>
                <c:pt idx="8">
                  <c:v>( $ 111.808.542)</c:v>
                </c:pt>
                <c:pt idx="9">
                  <c:v>( $ 106.577.975)</c:v>
                </c:pt>
                <c:pt idx="10">
                  <c:v>( $ 101.347.408)</c:v>
                </c:pt>
                <c:pt idx="11">
                  <c:v>( $ 96.116.841)</c:v>
                </c:pt>
                <c:pt idx="12">
                  <c:v>( $ 90.886.274)</c:v>
                </c:pt>
                <c:pt idx="13">
                  <c:v>( $ 85.655.707)</c:v>
                </c:pt>
                <c:pt idx="14">
                  <c:v>( $ 80.425.140)</c:v>
                </c:pt>
                <c:pt idx="15">
                  <c:v>( $ 75.194.573)</c:v>
                </c:pt>
                <c:pt idx="16">
                  <c:v>( $ 69.964.006)</c:v>
                </c:pt>
                <c:pt idx="17">
                  <c:v>( $ 64.733.440)</c:v>
                </c:pt>
                <c:pt idx="18">
                  <c:v>( $ 59.502.873)</c:v>
                </c:pt>
                <c:pt idx="19">
                  <c:v>( $ 54.272.306)</c:v>
                </c:pt>
              </c:strCache>
            </c:strRef>
          </c:cat>
          <c:val>
            <c:numRef>
              <c:f>Monte_Carlo!$C$30:$C$49</c:f>
              <c:numCache>
                <c:formatCode>[$-340A]#,##0.00</c:formatCode>
                <c:ptCount val="20"/>
                <c:pt idx="0">
                  <c:v>30</c:v>
                </c:pt>
                <c:pt idx="1">
                  <c:v>117</c:v>
                </c:pt>
                <c:pt idx="2">
                  <c:v>179</c:v>
                </c:pt>
                <c:pt idx="3">
                  <c:v>319</c:v>
                </c:pt>
                <c:pt idx="4">
                  <c:v>415</c:v>
                </c:pt>
                <c:pt idx="5">
                  <c:v>459</c:v>
                </c:pt>
                <c:pt idx="6">
                  <c:v>543</c:v>
                </c:pt>
                <c:pt idx="7">
                  <c:v>721</c:v>
                </c:pt>
                <c:pt idx="8">
                  <c:v>774</c:v>
                </c:pt>
                <c:pt idx="9">
                  <c:v>896</c:v>
                </c:pt>
                <c:pt idx="10">
                  <c:v>943</c:v>
                </c:pt>
                <c:pt idx="11">
                  <c:v>1040</c:v>
                </c:pt>
                <c:pt idx="12">
                  <c:v>926</c:v>
                </c:pt>
                <c:pt idx="13">
                  <c:v>776</c:v>
                </c:pt>
                <c:pt idx="14">
                  <c:v>687</c:v>
                </c:pt>
                <c:pt idx="15">
                  <c:v>470</c:v>
                </c:pt>
                <c:pt idx="16">
                  <c:v>372</c:v>
                </c:pt>
                <c:pt idx="17">
                  <c:v>215</c:v>
                </c:pt>
                <c:pt idx="18">
                  <c:v>96</c:v>
                </c:pt>
                <c:pt idx="19">
                  <c:v>22</c:v>
                </c:pt>
              </c:numCache>
            </c:numRef>
          </c:val>
        </c:ser>
        <c:gapWidth val="100"/>
        <c:overlap val="0"/>
        <c:axId val="21107798"/>
        <c:axId val="92504758"/>
      </c:barChart>
      <c:catAx>
        <c:axId val="21107798"/>
        <c:scaling>
          <c:orientation val="minMax"/>
        </c:scaling>
        <c:delete val="0"/>
        <c:axPos val="b"/>
        <c:numFmt formatCode="[$$-es-CL]\ #,##0;[RED]\([$ $-es-CL]\ #,##0\);\-" sourceLinked="1"/>
        <c:majorTickMark val="out"/>
        <c:minorTickMark val="none"/>
        <c:tickLblPos val="nextTo"/>
        <c:spPr>
          <a:ln w="0">
            <a:solidFill>
              <a:srgbClr val="b3b3b3"/>
            </a:solidFill>
          </a:ln>
        </c:spPr>
        <c:txPr>
          <a:bodyPr/>
          <a:lstStyle/>
          <a:p>
            <a:pPr>
              <a:defRPr b="0" sz="1000" spc="-1" strike="noStrike">
                <a:latin typeface="Arial"/>
              </a:defRPr>
            </a:pPr>
          </a:p>
        </c:txPr>
        <c:crossAx val="92504758"/>
        <c:crosses val="autoZero"/>
        <c:auto val="1"/>
        <c:lblAlgn val="ctr"/>
        <c:lblOffset val="100"/>
        <c:noMultiLvlLbl val="0"/>
      </c:catAx>
      <c:valAx>
        <c:axId val="92504758"/>
        <c:scaling>
          <c:orientation val="minMax"/>
        </c:scaling>
        <c:delete val="0"/>
        <c:axPos val="l"/>
        <c:majorGridlines>
          <c:spPr>
            <a:ln w="0">
              <a:solidFill>
                <a:srgbClr val="b3b3b3"/>
              </a:solidFill>
            </a:ln>
          </c:spPr>
        </c:majorGridlines>
        <c:numFmt formatCode="[$-340A]#,##0.00" sourceLinked="1"/>
        <c:majorTickMark val="out"/>
        <c:minorTickMark val="none"/>
        <c:tickLblPos val="nextTo"/>
        <c:spPr>
          <a:ln w="0">
            <a:solidFill>
              <a:srgbClr val="b3b3b3"/>
            </a:solidFill>
          </a:ln>
        </c:spPr>
        <c:txPr>
          <a:bodyPr/>
          <a:lstStyle/>
          <a:p>
            <a:pPr>
              <a:defRPr b="0" sz="1000" spc="-1" strike="noStrike">
                <a:latin typeface="Arial"/>
              </a:defRPr>
            </a:pPr>
          </a:p>
        </c:txPr>
        <c:crossAx val="21107798"/>
        <c:crosses val="autoZero"/>
        <c:crossBetween val="between"/>
      </c:valAx>
      <c:spPr>
        <a:solidFill>
          <a:srgbClr val="d9d9d9"/>
        </a:solidFill>
        <a:ln w="0">
          <a:noFill/>
        </a:ln>
      </c:spPr>
    </c:plotArea>
    <c:plotVisOnly val="0"/>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latin typeface="Arial"/>
              </a:defRPr>
            </a:pPr>
            <a:r>
              <a:rPr b="0" sz="1300" spc="-1" strike="noStrike">
                <a:latin typeface="Arial"/>
              </a:rPr>
              <a:t>VAN frente a la tasa de descuento</a:t>
            </a:r>
          </a:p>
        </c:rich>
      </c:tx>
      <c:overlay val="0"/>
      <c:spPr>
        <a:noFill/>
        <a:ln w="0">
          <a:noFill/>
        </a:ln>
      </c:spPr>
    </c:title>
    <c:autoTitleDeleted val="0"/>
    <c:plotArea>
      <c:scatterChart>
        <c:scatterStyle val="lineMarker"/>
        <c:varyColors val="0"/>
        <c:ser>
          <c:idx val="0"/>
          <c:order val="0"/>
          <c:tx>
            <c:strRef>
              <c:f>Tasa_Descuento!$B$13</c:f>
              <c:strCache>
                <c:ptCount val="1"/>
                <c:pt idx="0">
                  <c:v>VAN</c:v>
                </c:pt>
              </c:strCache>
            </c:strRef>
          </c:tx>
          <c:spPr>
            <a:solidFill>
              <a:srgbClr val="004586"/>
            </a:solidFill>
            <a:ln w="28800">
              <a:solidFill>
                <a:srgbClr val="004586"/>
              </a:solidFill>
              <a:round/>
            </a:ln>
          </c:spPr>
          <c:marker>
            <c:symbol val="square"/>
            <c:size val="8"/>
            <c:spPr>
              <a:solidFill>
                <a:srgbClr val="00458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strRef>
              <c:f>Tasa_Descuento!$A$14:$A$24</c:f>
              <c:strCache>
                <c:ptCount val="11"/>
                <c:pt idx="0">
                  <c:v>5,0%</c:v>
                </c:pt>
                <c:pt idx="1">
                  <c:v>8,0%</c:v>
                </c:pt>
                <c:pt idx="2">
                  <c:v>11,0%</c:v>
                </c:pt>
                <c:pt idx="3">
                  <c:v>14,0%</c:v>
                </c:pt>
                <c:pt idx="4">
                  <c:v>17,0%</c:v>
                </c:pt>
                <c:pt idx="5">
                  <c:v>20,0%</c:v>
                </c:pt>
                <c:pt idx="6">
                  <c:v>23,0%</c:v>
                </c:pt>
                <c:pt idx="7">
                  <c:v>26,0%</c:v>
                </c:pt>
                <c:pt idx="8">
                  <c:v>29,0%</c:v>
                </c:pt>
                <c:pt idx="9">
                  <c:v>32,0%</c:v>
                </c:pt>
                <c:pt idx="10">
                  <c:v>35,0%</c:v>
                </c:pt>
              </c:strCache>
            </c:strRef>
          </c:xVal>
          <c:yVal>
            <c:numRef>
              <c:f>Tasa_Descuento!$B$14:$B$24</c:f>
              <c:numCache>
                <c:formatCode>[$$-es-CL]\ #,##0;[RED]\([$ $-es-CL]\ #,##0\);\-</c:formatCode>
                <c:ptCount val="11"/>
                <c:pt idx="0">
                  <c:v>-153045677.405553</c:v>
                </c:pt>
                <c:pt idx="1">
                  <c:v>-147504983.12461</c:v>
                </c:pt>
                <c:pt idx="2">
                  <c:v>-142585340.47899</c:v>
                </c:pt>
                <c:pt idx="3">
                  <c:v>-138198431.615743</c:v>
                </c:pt>
                <c:pt idx="4">
                  <c:v>-134270774.178445</c:v>
                </c:pt>
                <c:pt idx="5">
                  <c:v>-130740886.6248</c:v>
                </c:pt>
                <c:pt idx="6">
                  <c:v>-127557055.232159</c:v>
                </c:pt>
                <c:pt idx="7">
                  <c:v>-124675563.228105</c:v>
                </c:pt>
                <c:pt idx="8">
                  <c:v>-122059277.431532</c:v>
                </c:pt>
                <c:pt idx="9">
                  <c:v>-119676513.378244</c:v>
                </c:pt>
                <c:pt idx="10">
                  <c:v>-117500118.794742</c:v>
                </c:pt>
              </c:numCache>
            </c:numRef>
          </c:yVal>
          <c:smooth val="0"/>
        </c:ser>
        <c:axId val="89551413"/>
        <c:axId val="53789986"/>
      </c:scatterChart>
      <c:valAx>
        <c:axId val="89551413"/>
        <c:scaling>
          <c:orientation val="minMax"/>
        </c:scaling>
        <c:delete val="0"/>
        <c:axPos val="b"/>
        <c:numFmt formatCode="[$-340A]0.0%" sourceLinked="1"/>
        <c:majorTickMark val="out"/>
        <c:minorTickMark val="none"/>
        <c:tickLblPos val="nextTo"/>
        <c:spPr>
          <a:ln w="0">
            <a:solidFill>
              <a:srgbClr val="b3b3b3"/>
            </a:solidFill>
          </a:ln>
        </c:spPr>
        <c:txPr>
          <a:bodyPr/>
          <a:lstStyle/>
          <a:p>
            <a:pPr>
              <a:defRPr b="0" sz="1000" spc="-1" strike="noStrike">
                <a:latin typeface="Arial"/>
              </a:defRPr>
            </a:pPr>
          </a:p>
        </c:txPr>
        <c:crossAx val="53789986"/>
        <c:crosses val="autoZero"/>
        <c:crossBetween val="between"/>
      </c:valAx>
      <c:valAx>
        <c:axId val="53789986"/>
        <c:scaling>
          <c:orientation val="minMax"/>
        </c:scaling>
        <c:delete val="0"/>
        <c:axPos val="l"/>
        <c:majorGridlines>
          <c:spPr>
            <a:ln w="0">
              <a:solidFill>
                <a:srgbClr val="b3b3b3"/>
              </a:solidFill>
            </a:ln>
          </c:spPr>
        </c:majorGridlines>
        <c:numFmt formatCode="[$$-es-CL]\ #,##0;[RED]\([$ $-es-CL]\ #,##0\);\-" sourceLinked="1"/>
        <c:majorTickMark val="out"/>
        <c:minorTickMark val="none"/>
        <c:tickLblPos val="nextTo"/>
        <c:spPr>
          <a:ln w="0">
            <a:solidFill>
              <a:srgbClr val="b3b3b3"/>
            </a:solidFill>
          </a:ln>
        </c:spPr>
        <c:txPr>
          <a:bodyPr/>
          <a:lstStyle/>
          <a:p>
            <a:pPr>
              <a:defRPr b="0" sz="1000" spc="-1" strike="noStrike">
                <a:latin typeface="Arial"/>
              </a:defRPr>
            </a:pPr>
          </a:p>
        </c:txPr>
        <c:crossAx val="89551413"/>
        <c:crosses val="autoZero"/>
        <c:crossBetween val="between"/>
      </c:valAx>
      <c:spPr>
        <a:solidFill>
          <a:srgbClr val="d9d9d9"/>
        </a:solidFill>
        <a:ln w="0">
          <a:noFill/>
        </a:ln>
      </c:spPr>
    </c:plotArea>
    <c:plotVisOnly val="0"/>
    <c:dispBlanksAs val="span"/>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180000</xdr:colOff>
      <xdr:row>12</xdr:row>
      <xdr:rowOff>281520</xdr:rowOff>
    </xdr:from>
    <xdr:to>
      <xdr:col>6</xdr:col>
      <xdr:colOff>755640</xdr:colOff>
      <xdr:row>30</xdr:row>
      <xdr:rowOff>69480</xdr:rowOff>
    </xdr:to>
    <xdr:graphicFrame>
      <xdr:nvGraphicFramePr>
        <xdr:cNvPr id="0" name=""/>
        <xdr:cNvGraphicFramePr/>
      </xdr:nvGraphicFramePr>
      <xdr:xfrm>
        <a:off x="180000" y="32400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180000</xdr:colOff>
      <xdr:row>7</xdr:row>
      <xdr:rowOff>439920</xdr:rowOff>
    </xdr:from>
    <xdr:to>
      <xdr:col>4</xdr:col>
      <xdr:colOff>1043280</xdr:colOff>
      <xdr:row>12</xdr:row>
      <xdr:rowOff>269640</xdr:rowOff>
    </xdr:to>
    <xdr:graphicFrame>
      <xdr:nvGraphicFramePr>
        <xdr:cNvPr id="1" name=""/>
        <xdr:cNvGraphicFramePr/>
      </xdr:nvGraphicFramePr>
      <xdr:xfrm>
        <a:off x="180000" y="195120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1008000</xdr:colOff>
      <xdr:row>1</xdr:row>
      <xdr:rowOff>36000</xdr:rowOff>
    </xdr:from>
    <xdr:to>
      <xdr:col>4</xdr:col>
      <xdr:colOff>1871280</xdr:colOff>
      <xdr:row>12</xdr:row>
      <xdr:rowOff>155520</xdr:rowOff>
    </xdr:to>
    <xdr:graphicFrame>
      <xdr:nvGraphicFramePr>
        <xdr:cNvPr id="2" name=""/>
        <xdr:cNvGraphicFramePr/>
      </xdr:nvGraphicFramePr>
      <xdr:xfrm>
        <a:off x="3240000" y="36000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72000</xdr:colOff>
      <xdr:row>1</xdr:row>
      <xdr:rowOff>36000</xdr:rowOff>
    </xdr:from>
    <xdr:to>
      <xdr:col>4</xdr:col>
      <xdr:colOff>71640</xdr:colOff>
      <xdr:row>7</xdr:row>
      <xdr:rowOff>373320</xdr:rowOff>
    </xdr:to>
    <xdr:graphicFrame>
      <xdr:nvGraphicFramePr>
        <xdr:cNvPr id="3" name=""/>
        <xdr:cNvGraphicFramePr/>
      </xdr:nvGraphicFramePr>
      <xdr:xfrm>
        <a:off x="3240000" y="36000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a_Inputs" displayName="Tabla_Inputs" ref="A4:G88" headerRowCount="1" totalsRowCount="0" totalsRowShown="0">
  <autoFilter ref="A4:G88"/>
  <tableColumns count="7">
    <tableColumn id="1" name="Categoría"/>
    <tableColumn id="2" name="Parámetro"/>
    <tableColumn id="3" name="Valor"/>
    <tableColumn id="4" name="Unidad"/>
    <tableColumn id="5" name="Confianza"/>
    <tableColumn id="6" name="Fuente"/>
    <tableColumn id="7" name="Nota"/>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A1:F2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1.45"/>
    <col collapsed="false" customWidth="true" hidden="false" outlineLevel="0" max="2" min="2" style="0" width="17.37"/>
    <col collapsed="false" customWidth="true" hidden="false" outlineLevel="0" max="3" min="3" style="0" width="1.02"/>
    <col collapsed="false" customWidth="true" hidden="false" outlineLevel="0" max="4" min="4" style="0" width="12.26"/>
    <col collapsed="false" customWidth="true" hidden="false" outlineLevel="0" max="5" min="5" style="0" width="20.43"/>
    <col collapsed="false" customWidth="true" hidden="false" outlineLevel="0" max="6" min="6" style="0" width="1.02"/>
  </cols>
  <sheetData>
    <row r="1" customFormat="false" ht="25.5" hidden="false" customHeight="true" outlineLevel="0" collapsed="false">
      <c r="A1" s="1" t="s">
        <v>0</v>
      </c>
      <c r="B1" s="1"/>
      <c r="C1" s="1"/>
      <c r="D1" s="1"/>
      <c r="E1" s="1"/>
      <c r="F1" s="1"/>
    </row>
    <row r="2" customFormat="false" ht="18.45" hidden="false" customHeight="true" outlineLevel="0" collapsed="false">
      <c r="A2" s="2" t="s">
        <v>1</v>
      </c>
      <c r="B2" s="2"/>
      <c r="C2" s="2"/>
      <c r="D2" s="2"/>
      <c r="E2" s="2"/>
      <c r="F2" s="2"/>
    </row>
    <row r="4" customFormat="false" ht="13.8" hidden="false" customHeight="false" outlineLevel="0" collapsed="false">
      <c r="A4" s="3" t="s">
        <v>2</v>
      </c>
      <c r="B4" s="3"/>
      <c r="C4" s="3"/>
      <c r="D4" s="3"/>
      <c r="E4" s="3"/>
      <c r="F4" s="3"/>
    </row>
    <row r="6" customFormat="false" ht="21.25" hidden="false" customHeight="true" outlineLevel="0" collapsed="false">
      <c r="A6" s="4" t="s">
        <v>3</v>
      </c>
      <c r="B6" s="5" t="n">
        <f aca="false">Calculos!$B$46</f>
        <v>38467030.0885877</v>
      </c>
      <c r="C6" s="6"/>
      <c r="D6" s="7" t="s">
        <v>4</v>
      </c>
      <c r="E6" s="7" t="str">
        <f aca="false">Inputs!$C$5</f>
        <v>Base</v>
      </c>
    </row>
    <row r="7" customFormat="false" ht="21.25" hidden="false" customHeight="true" outlineLevel="0" collapsed="false">
      <c r="A7" s="4" t="s">
        <v>5</v>
      </c>
      <c r="B7" s="5" t="n">
        <f aca="false">Calculos!$B$51</f>
        <v>125493563.000152</v>
      </c>
      <c r="C7" s="6"/>
      <c r="D7" s="7" t="s">
        <v>6</v>
      </c>
      <c r="E7" s="8" t="n">
        <f aca="false">Inputs!$C$6</f>
        <v>0.2046</v>
      </c>
    </row>
    <row r="8" customFormat="false" ht="21.25" hidden="false" customHeight="true" outlineLevel="0" collapsed="false">
      <c r="A8" s="4" t="s">
        <v>7</v>
      </c>
      <c r="B8" s="5" t="n">
        <f aca="false">Calculos!$B$47</f>
        <v>-91764381.4775857</v>
      </c>
      <c r="C8" s="6"/>
      <c r="D8" s="7" t="s">
        <v>8</v>
      </c>
      <c r="E8" s="9" t="n">
        <f aca="false">Inputs!$C$8</f>
        <v>50000000</v>
      </c>
    </row>
    <row r="9" customFormat="false" ht="21.25" hidden="false" customHeight="true" outlineLevel="0" collapsed="false">
      <c r="A9" s="4" t="s">
        <v>9</v>
      </c>
      <c r="B9" s="10" t="e">
        <f aca="false">Calculos!$B$48</f>
        <v>#N/A</v>
      </c>
      <c r="C9" s="6"/>
      <c r="D9" s="7"/>
      <c r="E9" s="7"/>
    </row>
    <row r="10" customFormat="false" ht="22.1" hidden="false" customHeight="true" outlineLevel="0" collapsed="false">
      <c r="A10" s="4" t="s">
        <v>10</v>
      </c>
      <c r="B10" s="11" t="e">
        <f aca="false">Calculos!$B$49</f>
        <v>#N/A</v>
      </c>
      <c r="C10" s="6"/>
      <c r="D10" s="7" t="s">
        <v>11</v>
      </c>
      <c r="E10" s="12" t="str">
        <f aca="false">IF(AND(Resumen!$B$8&gt;0,IF(ISNA(Resumen!$B$9),FALSE(),Resumen!$B$9&gt;Inputs!$C$6),Resumen!$B$7&lt;=Inputs!$C$8),"VIABLE · SUPUESTOS","RECHAZAR / REDISEÑAR")</f>
        <v>RECHAZAR / REDISEÑAR</v>
      </c>
    </row>
    <row r="11" customFormat="false" ht="21.25" hidden="false" customHeight="true" outlineLevel="0" collapsed="false">
      <c r="A11" s="4" t="s">
        <v>12</v>
      </c>
      <c r="B11" s="11" t="n">
        <f aca="false">Calculos!$B$50</f>
        <v>-1.38553330647718</v>
      </c>
      <c r="C11" s="6"/>
      <c r="D11" s="7"/>
      <c r="E11" s="7"/>
    </row>
    <row r="12" customFormat="false" ht="21.25" hidden="false" customHeight="true" outlineLevel="0" collapsed="false">
      <c r="A12" s="4" t="s">
        <v>13</v>
      </c>
      <c r="B12" s="13" t="n">
        <f aca="false">Calculos!$B$52</f>
        <v>2169.86108768423</v>
      </c>
      <c r="C12" s="6"/>
      <c r="D12" s="7" t="s">
        <v>14</v>
      </c>
      <c r="E12" s="7" t="str">
        <f aca="false">IF(ABS(Resumen!$B$8-SUM(Calculos!$B$42:$G$42))&lt;1,"OK","REVISAR")</f>
        <v>OK</v>
      </c>
    </row>
    <row r="13" customFormat="false" ht="23.85" hidden="false" customHeight="false" outlineLevel="0" collapsed="false">
      <c r="A13" s="6"/>
      <c r="B13" s="6"/>
      <c r="C13" s="6"/>
      <c r="D13" s="7" t="s">
        <v>15</v>
      </c>
      <c r="E13" s="7" t="str">
        <f aca="false">IF(AND(Calculos!$B$40&lt;0,Calculos!$G$40&gt;0),"OK","REVISAR TIR")</f>
        <v>REVISAR TIR</v>
      </c>
    </row>
    <row r="15" customFormat="false" ht="13.8" hidden="false" customHeight="false" outlineLevel="0" collapsed="false">
      <c r="A15" s="3" t="s">
        <v>16</v>
      </c>
      <c r="B15" s="3"/>
      <c r="C15" s="3"/>
      <c r="D15" s="3"/>
      <c r="E15" s="3"/>
      <c r="F15" s="3"/>
    </row>
    <row r="17" customFormat="false" ht="12.8" hidden="false" customHeight="false" outlineLevel="0" collapsed="false">
      <c r="A17" s="0" t="s">
        <v>17</v>
      </c>
    </row>
    <row r="18" customFormat="false" ht="12.8" hidden="false" customHeight="false" outlineLevel="0" collapsed="false">
      <c r="A18" s="0" t="s">
        <v>18</v>
      </c>
    </row>
    <row r="19" customFormat="false" ht="12.8" hidden="false" customHeight="false" outlineLevel="0" collapsed="false">
      <c r="A19" s="0" t="s">
        <v>19</v>
      </c>
    </row>
    <row r="20" customFormat="false" ht="12.8" hidden="false" customHeight="false" outlineLevel="0" collapsed="false">
      <c r="A20" s="0" t="s">
        <v>20</v>
      </c>
    </row>
    <row r="22" customFormat="false" ht="13.8" hidden="false" customHeight="false" outlineLevel="0" collapsed="false">
      <c r="A22" s="3" t="s">
        <v>21</v>
      </c>
      <c r="B22" s="3"/>
      <c r="C22" s="3"/>
      <c r="D22" s="3"/>
      <c r="E22" s="3"/>
      <c r="F22" s="3"/>
    </row>
    <row r="24" customFormat="false" ht="12.8" hidden="false" customHeight="false" outlineLevel="0" collapsed="false">
      <c r="A24" s="14" t="s">
        <v>22</v>
      </c>
      <c r="B24" s="15" t="s">
        <v>23</v>
      </c>
      <c r="C24" s="14"/>
      <c r="D24" s="14" t="s">
        <v>24</v>
      </c>
      <c r="E24" s="14" t="s">
        <v>25</v>
      </c>
    </row>
    <row r="25" customFormat="false" ht="12.8" hidden="false" customHeight="false" outlineLevel="0" collapsed="false">
      <c r="A25" s="14" t="s">
        <v>26</v>
      </c>
      <c r="B25" s="16" t="s">
        <v>27</v>
      </c>
      <c r="C25" s="14"/>
      <c r="D25" s="14" t="s">
        <v>28</v>
      </c>
      <c r="E25" s="17" t="s">
        <v>29</v>
      </c>
    </row>
  </sheetData>
  <mergeCells count="5">
    <mergeCell ref="A1:F1"/>
    <mergeCell ref="A2:F2"/>
    <mergeCell ref="A4:F4"/>
    <mergeCell ref="A15:F15"/>
    <mergeCell ref="A22:F22"/>
  </mergeCells>
  <conditionalFormatting sqref="E10">
    <cfRule type="expression" priority="2" aboveAverage="0" equalAverage="0" bottom="0" percent="0" rank="0" text="" dxfId="0">
      <formula>EXACT(E10,"VIABLE · SUPUESTOS")</formula>
    </cfRule>
    <cfRule type="expression" priority="3" aboveAverage="0" equalAverage="0" bottom="0" percent="0" rank="0" text="" dxfId="1">
      <formula>NOT(EXACT(E10,"VIABLE · SUPUESTOS"))</formula>
    </cfRule>
  </conditionalFormatting>
  <conditionalFormatting sqref="E12:E13">
    <cfRule type="expression" priority="4" aboveAverage="0" equalAverage="0" bottom="0" percent="0" rank="0" text="" dxfId="0">
      <formula>EXACT(E12,"OK")</formula>
    </cfRule>
    <cfRule type="expression" priority="5" aboveAverage="0" equalAverage="0" bottom="0" percent="0" rank="0" text="" dxfId="2">
      <formula>NOT(EXACT(E12,"OK"))</formula>
    </cfRule>
  </conditionalFormatting>
  <conditionalFormatting sqref="B7">
    <cfRule type="expression" priority="6" aboveAverage="0" equalAverage="0" bottom="0" percent="0" rank="0" text="" dxfId="0">
      <formula>B7&lt;=Inputs!$C$8</formula>
    </cfRule>
    <cfRule type="expression" priority="7" aboveAverage="0" equalAverage="0" bottom="0" percent="0" rank="0" text="" dxfId="1">
      <formula>B7&gt;Inputs!$C$8</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G8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11.53515625" defaultRowHeight="12.8" zeroHeight="false" outlineLevelRow="0" outlineLevelCol="0"/>
  <cols>
    <col collapsed="false" customWidth="true" hidden="false" outlineLevel="0" max="1" min="1" style="0" width="12.76"/>
    <col collapsed="false" customWidth="true" hidden="false" outlineLevel="0" max="2" min="2" style="0" width="26.56"/>
    <col collapsed="false" customWidth="true" hidden="false" outlineLevel="0" max="3" min="3" style="0" width="14.3"/>
    <col collapsed="false" customWidth="true" hidden="false" outlineLevel="0" max="4" min="4" style="0" width="17.37"/>
    <col collapsed="false" customWidth="true" hidden="false" outlineLevel="0" max="5" min="5" style="0" width="13.8"/>
    <col collapsed="false" customWidth="true" hidden="false" outlineLevel="0" max="6" min="6" style="0" width="45.96"/>
    <col collapsed="false" customWidth="true" hidden="false" outlineLevel="0" max="7" min="7" style="0" width="53.63"/>
  </cols>
  <sheetData>
    <row r="1" customFormat="false" ht="25.5" hidden="false" customHeight="true" outlineLevel="0" collapsed="false">
      <c r="A1" s="1" t="s">
        <v>30</v>
      </c>
      <c r="B1" s="1"/>
      <c r="C1" s="1"/>
      <c r="D1" s="1"/>
      <c r="E1" s="1"/>
      <c r="F1" s="1"/>
      <c r="G1" s="1"/>
    </row>
    <row r="2" customFormat="false" ht="18.45" hidden="false" customHeight="true" outlineLevel="0" collapsed="false">
      <c r="A2" s="2" t="s">
        <v>31</v>
      </c>
      <c r="B2" s="2"/>
      <c r="C2" s="2"/>
      <c r="D2" s="2"/>
      <c r="E2" s="2"/>
      <c r="F2" s="2"/>
      <c r="G2" s="2"/>
    </row>
    <row r="4" customFormat="false" ht="18.45" hidden="false" customHeight="true" outlineLevel="0" collapsed="false">
      <c r="A4" s="18" t="s">
        <v>32</v>
      </c>
      <c r="B4" s="19" t="s">
        <v>33</v>
      </c>
      <c r="C4" s="20" t="s">
        <v>34</v>
      </c>
      <c r="D4" s="19" t="s">
        <v>35</v>
      </c>
      <c r="E4" s="19" t="s">
        <v>36</v>
      </c>
      <c r="F4" s="19" t="s">
        <v>37</v>
      </c>
      <c r="G4" s="21" t="s">
        <v>38</v>
      </c>
    </row>
    <row r="5" customFormat="false" ht="12.8" hidden="false" customHeight="false" outlineLevel="0" collapsed="false">
      <c r="A5" s="22" t="s">
        <v>39</v>
      </c>
      <c r="B5" s="23" t="s">
        <v>40</v>
      </c>
      <c r="C5" s="24" t="s">
        <v>41</v>
      </c>
      <c r="D5" s="23" t="s">
        <v>42</v>
      </c>
      <c r="E5" s="25" t="s">
        <v>43</v>
      </c>
      <c r="F5" s="26" t="s">
        <v>44</v>
      </c>
      <c r="G5" s="27" t="s">
        <v>45</v>
      </c>
    </row>
    <row r="6" customFormat="false" ht="199.95" hidden="false" customHeight="false" outlineLevel="0" collapsed="false">
      <c r="A6" s="28" t="s">
        <v>39</v>
      </c>
      <c r="B6" s="29" t="s">
        <v>46</v>
      </c>
      <c r="C6" s="30" t="n">
        <v>0.2046</v>
      </c>
      <c r="D6" s="29" t="s">
        <v>47</v>
      </c>
      <c r="E6" s="31" t="s">
        <v>48</v>
      </c>
      <c r="F6" s="32" t="s">
        <v>49</v>
      </c>
      <c r="G6" s="33" t="s">
        <v>50</v>
      </c>
    </row>
    <row r="7" customFormat="false" ht="32.8" hidden="false" customHeight="false" outlineLevel="0" collapsed="false">
      <c r="A7" s="22" t="s">
        <v>39</v>
      </c>
      <c r="B7" s="23" t="s">
        <v>51</v>
      </c>
      <c r="C7" s="30" t="n">
        <v>0.03</v>
      </c>
      <c r="D7" s="23" t="s">
        <v>52</v>
      </c>
      <c r="E7" s="31" t="s">
        <v>48</v>
      </c>
      <c r="F7" s="26" t="s">
        <v>53</v>
      </c>
      <c r="G7" s="27" t="s">
        <v>54</v>
      </c>
    </row>
    <row r="8" customFormat="false" ht="12.8" hidden="false" customHeight="false" outlineLevel="0" collapsed="false">
      <c r="A8" s="28" t="s">
        <v>39</v>
      </c>
      <c r="B8" s="29" t="s">
        <v>55</v>
      </c>
      <c r="C8" s="34" t="n">
        <v>50000000</v>
      </c>
      <c r="D8" s="29" t="s">
        <v>56</v>
      </c>
      <c r="E8" s="35" t="s">
        <v>57</v>
      </c>
      <c r="F8" s="32" t="s">
        <v>58</v>
      </c>
      <c r="G8" s="33" t="s">
        <v>59</v>
      </c>
    </row>
    <row r="9" customFormat="false" ht="12.8" hidden="false" customHeight="false" outlineLevel="0" collapsed="false">
      <c r="A9" s="22" t="s">
        <v>39</v>
      </c>
      <c r="B9" s="23" t="s">
        <v>60</v>
      </c>
      <c r="C9" s="36" t="n">
        <v>5</v>
      </c>
      <c r="D9" s="23" t="s">
        <v>61</v>
      </c>
      <c r="E9" s="25" t="s">
        <v>43</v>
      </c>
      <c r="F9" s="26" t="s">
        <v>62</v>
      </c>
      <c r="G9" s="27" t="s">
        <v>63</v>
      </c>
    </row>
    <row r="10" customFormat="false" ht="32.8" hidden="false" customHeight="false" outlineLevel="0" collapsed="false">
      <c r="A10" s="28" t="s">
        <v>64</v>
      </c>
      <c r="B10" s="29" t="s">
        <v>65</v>
      </c>
      <c r="C10" s="34" t="n">
        <v>4200</v>
      </c>
      <c r="D10" s="29" t="s">
        <v>66</v>
      </c>
      <c r="E10" s="25" t="s">
        <v>43</v>
      </c>
      <c r="F10" s="32" t="s">
        <v>67</v>
      </c>
      <c r="G10" s="33" t="s">
        <v>68</v>
      </c>
    </row>
    <row r="11" customFormat="false" ht="22.35" hidden="false" customHeight="false" outlineLevel="0" collapsed="false">
      <c r="A11" s="22" t="s">
        <v>64</v>
      </c>
      <c r="B11" s="23" t="s">
        <v>69</v>
      </c>
      <c r="C11" s="36" t="n">
        <v>0</v>
      </c>
      <c r="D11" s="23" t="s">
        <v>70</v>
      </c>
      <c r="E11" s="37" t="s">
        <v>71</v>
      </c>
      <c r="F11" s="26" t="s">
        <v>72</v>
      </c>
      <c r="G11" s="27" t="s">
        <v>73</v>
      </c>
    </row>
    <row r="12" customFormat="false" ht="22.35" hidden="false" customHeight="false" outlineLevel="0" collapsed="false">
      <c r="A12" s="28" t="s">
        <v>64</v>
      </c>
      <c r="B12" s="29" t="s">
        <v>74</v>
      </c>
      <c r="C12" s="36" t="n">
        <v>30000</v>
      </c>
      <c r="D12" s="29" t="s">
        <v>75</v>
      </c>
      <c r="E12" s="25" t="s">
        <v>43</v>
      </c>
      <c r="F12" s="32" t="s">
        <v>76</v>
      </c>
      <c r="G12" s="33" t="s">
        <v>77</v>
      </c>
    </row>
    <row r="13" customFormat="false" ht="12.8" hidden="false" customHeight="false" outlineLevel="0" collapsed="false">
      <c r="A13" s="22" t="s">
        <v>64</v>
      </c>
      <c r="B13" s="23" t="s">
        <v>78</v>
      </c>
      <c r="C13" s="36" t="n">
        <v>42000</v>
      </c>
      <c r="D13" s="23" t="s">
        <v>75</v>
      </c>
      <c r="E13" s="25" t="s">
        <v>43</v>
      </c>
      <c r="F13" s="26" t="s">
        <v>79</v>
      </c>
      <c r="G13" s="27" t="s">
        <v>80</v>
      </c>
    </row>
    <row r="14" customFormat="false" ht="12.8" hidden="false" customHeight="false" outlineLevel="0" collapsed="false">
      <c r="A14" s="28" t="s">
        <v>64</v>
      </c>
      <c r="B14" s="29" t="s">
        <v>81</v>
      </c>
      <c r="C14" s="36" t="n">
        <v>54000</v>
      </c>
      <c r="D14" s="29" t="s">
        <v>75</v>
      </c>
      <c r="E14" s="25" t="s">
        <v>43</v>
      </c>
      <c r="F14" s="32" t="s">
        <v>79</v>
      </c>
      <c r="G14" s="33" t="s">
        <v>80</v>
      </c>
    </row>
    <row r="15" customFormat="false" ht="12.8" hidden="false" customHeight="false" outlineLevel="0" collapsed="false">
      <c r="A15" s="22" t="s">
        <v>64</v>
      </c>
      <c r="B15" s="23" t="s">
        <v>82</v>
      </c>
      <c r="C15" s="36" t="n">
        <v>66000</v>
      </c>
      <c r="D15" s="23" t="s">
        <v>75</v>
      </c>
      <c r="E15" s="25" t="s">
        <v>43</v>
      </c>
      <c r="F15" s="26" t="s">
        <v>79</v>
      </c>
      <c r="G15" s="27" t="s">
        <v>80</v>
      </c>
    </row>
    <row r="16" customFormat="false" ht="12.8" hidden="false" customHeight="false" outlineLevel="0" collapsed="false">
      <c r="A16" s="28" t="s">
        <v>64</v>
      </c>
      <c r="B16" s="29" t="s">
        <v>83</v>
      </c>
      <c r="C16" s="36" t="n">
        <v>72000</v>
      </c>
      <c r="D16" s="29" t="s">
        <v>75</v>
      </c>
      <c r="E16" s="25" t="s">
        <v>43</v>
      </c>
      <c r="F16" s="32" t="s">
        <v>79</v>
      </c>
      <c r="G16" s="33" t="s">
        <v>80</v>
      </c>
    </row>
    <row r="17" customFormat="false" ht="22.35" hidden="false" customHeight="false" outlineLevel="0" collapsed="false">
      <c r="A17" s="22" t="s">
        <v>64</v>
      </c>
      <c r="B17" s="23" t="s">
        <v>84</v>
      </c>
      <c r="C17" s="36" t="n">
        <v>0</v>
      </c>
      <c r="D17" s="23" t="s">
        <v>85</v>
      </c>
      <c r="E17" s="37" t="s">
        <v>71</v>
      </c>
      <c r="F17" s="26" t="s">
        <v>86</v>
      </c>
      <c r="G17" s="27" t="s">
        <v>87</v>
      </c>
    </row>
    <row r="18" customFormat="false" ht="22.35" hidden="false" customHeight="false" outlineLevel="0" collapsed="false">
      <c r="A18" s="28" t="s">
        <v>64</v>
      </c>
      <c r="B18" s="29" t="s">
        <v>88</v>
      </c>
      <c r="C18" s="36" t="n">
        <v>0</v>
      </c>
      <c r="D18" s="29" t="s">
        <v>85</v>
      </c>
      <c r="E18" s="37" t="s">
        <v>71</v>
      </c>
      <c r="F18" s="32" t="s">
        <v>89</v>
      </c>
      <c r="G18" s="33" t="s">
        <v>87</v>
      </c>
    </row>
    <row r="19" customFormat="false" ht="22.35" hidden="false" customHeight="false" outlineLevel="0" collapsed="false">
      <c r="A19" s="22" t="s">
        <v>64</v>
      </c>
      <c r="B19" s="23" t="s">
        <v>90</v>
      </c>
      <c r="C19" s="36" t="n">
        <v>0</v>
      </c>
      <c r="D19" s="23" t="s">
        <v>85</v>
      </c>
      <c r="E19" s="37" t="s">
        <v>71</v>
      </c>
      <c r="F19" s="26" t="s">
        <v>91</v>
      </c>
      <c r="G19" s="27" t="s">
        <v>87</v>
      </c>
    </row>
    <row r="20" customFormat="false" ht="22.35" hidden="false" customHeight="false" outlineLevel="0" collapsed="false">
      <c r="A20" s="28" t="s">
        <v>64</v>
      </c>
      <c r="B20" s="29" t="s">
        <v>92</v>
      </c>
      <c r="C20" s="36" t="n">
        <v>0</v>
      </c>
      <c r="D20" s="29" t="s">
        <v>85</v>
      </c>
      <c r="E20" s="37" t="s">
        <v>71</v>
      </c>
      <c r="F20" s="32" t="s">
        <v>93</v>
      </c>
      <c r="G20" s="33" t="s">
        <v>87</v>
      </c>
    </row>
    <row r="21" customFormat="false" ht="22.35" hidden="false" customHeight="false" outlineLevel="0" collapsed="false">
      <c r="A21" s="22" t="s">
        <v>94</v>
      </c>
      <c r="B21" s="23" t="s">
        <v>95</v>
      </c>
      <c r="C21" s="30" t="n">
        <v>0.125</v>
      </c>
      <c r="D21" s="23" t="s">
        <v>96</v>
      </c>
      <c r="E21" s="35" t="s">
        <v>57</v>
      </c>
      <c r="F21" s="26" t="s">
        <v>97</v>
      </c>
      <c r="G21" s="27" t="s">
        <v>98</v>
      </c>
    </row>
    <row r="22" customFormat="false" ht="43.25" hidden="false" customHeight="false" outlineLevel="0" collapsed="false">
      <c r="A22" s="28" t="s">
        <v>94</v>
      </c>
      <c r="B22" s="29" t="s">
        <v>99</v>
      </c>
      <c r="C22" s="30" t="n">
        <v>0.125</v>
      </c>
      <c r="D22" s="29" t="s">
        <v>100</v>
      </c>
      <c r="E22" s="35" t="s">
        <v>57</v>
      </c>
      <c r="F22" s="32" t="s">
        <v>101</v>
      </c>
      <c r="G22" s="33" t="s">
        <v>102</v>
      </c>
    </row>
    <row r="23" customFormat="false" ht="32.8" hidden="false" customHeight="false" outlineLevel="0" collapsed="false">
      <c r="A23" s="22" t="s">
        <v>94</v>
      </c>
      <c r="B23" s="23" t="s">
        <v>103</v>
      </c>
      <c r="C23" s="30" t="n">
        <v>0.15</v>
      </c>
      <c r="D23" s="23" t="s">
        <v>104</v>
      </c>
      <c r="E23" s="31" t="s">
        <v>48</v>
      </c>
      <c r="F23" s="26" t="s">
        <v>101</v>
      </c>
      <c r="G23" s="27" t="s">
        <v>105</v>
      </c>
    </row>
    <row r="24" customFormat="false" ht="22.35" hidden="false" customHeight="false" outlineLevel="0" collapsed="false">
      <c r="A24" s="28" t="s">
        <v>94</v>
      </c>
      <c r="B24" s="29" t="s">
        <v>106</v>
      </c>
      <c r="C24" s="30" t="n">
        <v>0.25</v>
      </c>
      <c r="D24" s="29" t="s">
        <v>104</v>
      </c>
      <c r="E24" s="31" t="s">
        <v>48</v>
      </c>
      <c r="F24" s="32" t="s">
        <v>101</v>
      </c>
      <c r="G24" s="33" t="s">
        <v>107</v>
      </c>
    </row>
    <row r="25" customFormat="false" ht="22.35" hidden="false" customHeight="false" outlineLevel="0" collapsed="false">
      <c r="A25" s="22" t="s">
        <v>94</v>
      </c>
      <c r="B25" s="23" t="s">
        <v>108</v>
      </c>
      <c r="C25" s="30" t="n">
        <v>0.25</v>
      </c>
      <c r="D25" s="23" t="s">
        <v>104</v>
      </c>
      <c r="E25" s="31" t="s">
        <v>48</v>
      </c>
      <c r="F25" s="26" t="s">
        <v>101</v>
      </c>
      <c r="G25" s="27" t="s">
        <v>109</v>
      </c>
    </row>
    <row r="26" customFormat="false" ht="85.05" hidden="false" customHeight="false" outlineLevel="0" collapsed="false">
      <c r="A26" s="28" t="s">
        <v>110</v>
      </c>
      <c r="B26" s="29" t="s">
        <v>111</v>
      </c>
      <c r="C26" s="38" t="n">
        <v>0.151</v>
      </c>
      <c r="D26" s="29" t="s">
        <v>112</v>
      </c>
      <c r="E26" s="31" t="s">
        <v>48</v>
      </c>
      <c r="F26" s="32" t="s">
        <v>113</v>
      </c>
      <c r="G26" s="33" t="s">
        <v>114</v>
      </c>
    </row>
    <row r="27" customFormat="false" ht="74.6" hidden="false" customHeight="false" outlineLevel="0" collapsed="false">
      <c r="A27" s="22" t="s">
        <v>110</v>
      </c>
      <c r="B27" s="23" t="s">
        <v>115</v>
      </c>
      <c r="C27" s="38" t="n">
        <v>0.08</v>
      </c>
      <c r="D27" s="23" t="s">
        <v>112</v>
      </c>
      <c r="E27" s="31" t="s">
        <v>48</v>
      </c>
      <c r="F27" s="26" t="s">
        <v>113</v>
      </c>
      <c r="G27" s="27" t="s">
        <v>116</v>
      </c>
    </row>
    <row r="28" customFormat="false" ht="116.4" hidden="false" customHeight="false" outlineLevel="0" collapsed="false">
      <c r="A28" s="28" t="s">
        <v>110</v>
      </c>
      <c r="B28" s="29" t="s">
        <v>117</v>
      </c>
      <c r="C28" s="38" t="n">
        <v>0.1</v>
      </c>
      <c r="D28" s="29" t="s">
        <v>112</v>
      </c>
      <c r="E28" s="31" t="s">
        <v>48</v>
      </c>
      <c r="F28" s="32" t="s">
        <v>113</v>
      </c>
      <c r="G28" s="33" t="s">
        <v>118</v>
      </c>
    </row>
    <row r="29" customFormat="false" ht="22.35" hidden="false" customHeight="false" outlineLevel="0" collapsed="false">
      <c r="A29" s="22" t="s">
        <v>110</v>
      </c>
      <c r="B29" s="23" t="s">
        <v>119</v>
      </c>
      <c r="C29" s="34" t="n">
        <v>550</v>
      </c>
      <c r="D29" s="23" t="s">
        <v>120</v>
      </c>
      <c r="E29" s="25" t="s">
        <v>43</v>
      </c>
      <c r="F29" s="26" t="s">
        <v>79</v>
      </c>
      <c r="G29" s="27" t="s">
        <v>121</v>
      </c>
    </row>
    <row r="30" customFormat="false" ht="12.8" hidden="false" customHeight="false" outlineLevel="0" collapsed="false">
      <c r="A30" s="28" t="s">
        <v>110</v>
      </c>
      <c r="B30" s="29" t="s">
        <v>122</v>
      </c>
      <c r="C30" s="34" t="n">
        <v>300</v>
      </c>
      <c r="D30" s="29" t="s">
        <v>120</v>
      </c>
      <c r="E30" s="25" t="s">
        <v>43</v>
      </c>
      <c r="F30" s="32" t="s">
        <v>123</v>
      </c>
      <c r="G30" s="33" t="s">
        <v>124</v>
      </c>
    </row>
    <row r="31" customFormat="false" ht="22.35" hidden="false" customHeight="false" outlineLevel="0" collapsed="false">
      <c r="A31" s="22" t="s">
        <v>110</v>
      </c>
      <c r="B31" s="23" t="s">
        <v>125</v>
      </c>
      <c r="C31" s="34" t="n">
        <v>120</v>
      </c>
      <c r="D31" s="23" t="s">
        <v>126</v>
      </c>
      <c r="E31" s="25" t="s">
        <v>43</v>
      </c>
      <c r="F31" s="26" t="s">
        <v>127</v>
      </c>
      <c r="G31" s="27" t="s">
        <v>128</v>
      </c>
    </row>
    <row r="32" customFormat="false" ht="12.8" hidden="false" customHeight="false" outlineLevel="0" collapsed="false">
      <c r="A32" s="28" t="s">
        <v>110</v>
      </c>
      <c r="B32" s="29" t="s">
        <v>129</v>
      </c>
      <c r="C32" s="34" t="n">
        <v>220</v>
      </c>
      <c r="D32" s="29" t="s">
        <v>126</v>
      </c>
      <c r="E32" s="25" t="s">
        <v>43</v>
      </c>
      <c r="F32" s="32" t="s">
        <v>79</v>
      </c>
      <c r="G32" s="33" t="s">
        <v>130</v>
      </c>
    </row>
    <row r="33" customFormat="false" ht="74.6" hidden="false" customHeight="false" outlineLevel="0" collapsed="false">
      <c r="A33" s="22" t="s">
        <v>110</v>
      </c>
      <c r="B33" s="23" t="s">
        <v>131</v>
      </c>
      <c r="C33" s="30" t="n">
        <v>0.05</v>
      </c>
      <c r="D33" s="23" t="s">
        <v>132</v>
      </c>
      <c r="E33" s="25" t="s">
        <v>43</v>
      </c>
      <c r="F33" s="26" t="s">
        <v>133</v>
      </c>
      <c r="G33" s="27" t="s">
        <v>134</v>
      </c>
    </row>
    <row r="34" customFormat="false" ht="22.35" hidden="false" customHeight="false" outlineLevel="0" collapsed="false">
      <c r="A34" s="28" t="s">
        <v>135</v>
      </c>
      <c r="B34" s="29" t="s">
        <v>136</v>
      </c>
      <c r="C34" s="34" t="n">
        <v>840</v>
      </c>
      <c r="D34" s="29" t="s">
        <v>137</v>
      </c>
      <c r="E34" s="35" t="s">
        <v>57</v>
      </c>
      <c r="F34" s="32" t="s">
        <v>138</v>
      </c>
      <c r="G34" s="33" t="s">
        <v>139</v>
      </c>
    </row>
    <row r="35" customFormat="false" ht="22.35" hidden="false" customHeight="false" outlineLevel="0" collapsed="false">
      <c r="A35" s="22" t="s">
        <v>135</v>
      </c>
      <c r="B35" s="23" t="s">
        <v>140</v>
      </c>
      <c r="C35" s="34" t="n">
        <v>2383.8</v>
      </c>
      <c r="D35" s="23" t="s">
        <v>137</v>
      </c>
      <c r="E35" s="35" t="s">
        <v>57</v>
      </c>
      <c r="F35" s="26" t="s">
        <v>141</v>
      </c>
      <c r="G35" s="27" t="s">
        <v>142</v>
      </c>
    </row>
    <row r="36" customFormat="false" ht="32.8" hidden="false" customHeight="false" outlineLevel="0" collapsed="false">
      <c r="A36" s="28" t="s">
        <v>135</v>
      </c>
      <c r="B36" s="29" t="s">
        <v>143</v>
      </c>
      <c r="C36" s="34" t="n">
        <v>8403.36</v>
      </c>
      <c r="D36" s="29" t="s">
        <v>137</v>
      </c>
      <c r="E36" s="31" t="s">
        <v>48</v>
      </c>
      <c r="F36" s="32" t="s">
        <v>144</v>
      </c>
      <c r="G36" s="33" t="s">
        <v>145</v>
      </c>
    </row>
    <row r="37" customFormat="false" ht="12.8" hidden="false" customHeight="false" outlineLevel="0" collapsed="false">
      <c r="A37" s="22" t="s">
        <v>146</v>
      </c>
      <c r="B37" s="23" t="s">
        <v>147</v>
      </c>
      <c r="C37" s="36" t="n">
        <v>120</v>
      </c>
      <c r="D37" s="23" t="s">
        <v>148</v>
      </c>
      <c r="E37" s="25" t="s">
        <v>43</v>
      </c>
      <c r="F37" s="26" t="s">
        <v>149</v>
      </c>
      <c r="G37" s="27" t="s">
        <v>150</v>
      </c>
    </row>
    <row r="38" customFormat="false" ht="32.8" hidden="false" customHeight="false" outlineLevel="0" collapsed="false">
      <c r="A38" s="28" t="s">
        <v>146</v>
      </c>
      <c r="B38" s="29" t="s">
        <v>151</v>
      </c>
      <c r="C38" s="34" t="n">
        <v>6331</v>
      </c>
      <c r="D38" s="29" t="s">
        <v>152</v>
      </c>
      <c r="E38" s="31" t="s">
        <v>48</v>
      </c>
      <c r="F38" s="32" t="s">
        <v>153</v>
      </c>
      <c r="G38" s="33" t="s">
        <v>154</v>
      </c>
    </row>
    <row r="39" customFormat="false" ht="22.35" hidden="false" customHeight="false" outlineLevel="0" collapsed="false">
      <c r="A39" s="22" t="s">
        <v>146</v>
      </c>
      <c r="B39" s="23" t="s">
        <v>155</v>
      </c>
      <c r="C39" s="34" t="n">
        <v>0</v>
      </c>
      <c r="D39" s="23" t="s">
        <v>156</v>
      </c>
      <c r="E39" s="37" t="s">
        <v>71</v>
      </c>
      <c r="F39" s="26"/>
      <c r="G39" s="27" t="s">
        <v>157</v>
      </c>
    </row>
    <row r="40" customFormat="false" ht="126.85" hidden="false" customHeight="false" outlineLevel="0" collapsed="false">
      <c r="A40" s="28" t="s">
        <v>146</v>
      </c>
      <c r="B40" s="29" t="s">
        <v>158</v>
      </c>
      <c r="C40" s="34" t="n">
        <v>1100000</v>
      </c>
      <c r="D40" s="29" t="s">
        <v>159</v>
      </c>
      <c r="E40" s="31" t="s">
        <v>48</v>
      </c>
      <c r="F40" s="32" t="s">
        <v>160</v>
      </c>
      <c r="G40" s="33" t="s">
        <v>161</v>
      </c>
    </row>
    <row r="41" customFormat="false" ht="189.55" hidden="false" customHeight="false" outlineLevel="0" collapsed="false">
      <c r="A41" s="22" t="s">
        <v>146</v>
      </c>
      <c r="B41" s="23" t="s">
        <v>162</v>
      </c>
      <c r="C41" s="38" t="n">
        <v>1.0853</v>
      </c>
      <c r="D41" s="23" t="s">
        <v>163</v>
      </c>
      <c r="E41" s="35" t="s">
        <v>57</v>
      </c>
      <c r="F41" s="26" t="s">
        <v>164</v>
      </c>
      <c r="G41" s="27" t="s">
        <v>165</v>
      </c>
    </row>
    <row r="42" customFormat="false" ht="22.35" hidden="false" customHeight="false" outlineLevel="0" collapsed="false">
      <c r="A42" s="28" t="s">
        <v>146</v>
      </c>
      <c r="B42" s="29" t="s">
        <v>166</v>
      </c>
      <c r="C42" s="34" t="n">
        <v>180000</v>
      </c>
      <c r="D42" s="29" t="s">
        <v>156</v>
      </c>
      <c r="E42" s="25" t="s">
        <v>43</v>
      </c>
      <c r="F42" s="32" t="s">
        <v>79</v>
      </c>
      <c r="G42" s="33" t="s">
        <v>167</v>
      </c>
    </row>
    <row r="43" customFormat="false" ht="12.8" hidden="false" customHeight="false" outlineLevel="0" collapsed="false">
      <c r="A43" s="22" t="s">
        <v>146</v>
      </c>
      <c r="B43" s="23" t="s">
        <v>168</v>
      </c>
      <c r="C43" s="34" t="n">
        <v>100000</v>
      </c>
      <c r="D43" s="23" t="s">
        <v>156</v>
      </c>
      <c r="E43" s="25" t="s">
        <v>43</v>
      </c>
      <c r="F43" s="26" t="s">
        <v>79</v>
      </c>
      <c r="G43" s="27" t="s">
        <v>169</v>
      </c>
    </row>
    <row r="44" customFormat="false" ht="12.8" hidden="false" customHeight="false" outlineLevel="0" collapsed="false">
      <c r="A44" s="28" t="s">
        <v>146</v>
      </c>
      <c r="B44" s="29" t="s">
        <v>170</v>
      </c>
      <c r="C44" s="34" t="n">
        <v>160000</v>
      </c>
      <c r="D44" s="29" t="s">
        <v>156</v>
      </c>
      <c r="E44" s="25" t="s">
        <v>43</v>
      </c>
      <c r="F44" s="32" t="s">
        <v>79</v>
      </c>
      <c r="G44" s="33" t="s">
        <v>171</v>
      </c>
    </row>
    <row r="45" customFormat="false" ht="12.8" hidden="false" customHeight="false" outlineLevel="0" collapsed="false">
      <c r="A45" s="22" t="s">
        <v>146</v>
      </c>
      <c r="B45" s="23" t="s">
        <v>172</v>
      </c>
      <c r="C45" s="34" t="n">
        <v>180000</v>
      </c>
      <c r="D45" s="23" t="s">
        <v>156</v>
      </c>
      <c r="E45" s="25" t="s">
        <v>43</v>
      </c>
      <c r="F45" s="26" t="s">
        <v>79</v>
      </c>
      <c r="G45" s="27" t="s">
        <v>173</v>
      </c>
    </row>
    <row r="46" customFormat="false" ht="12.8" hidden="false" customHeight="false" outlineLevel="0" collapsed="false">
      <c r="A46" s="28" t="s">
        <v>146</v>
      </c>
      <c r="B46" s="29" t="s">
        <v>174</v>
      </c>
      <c r="C46" s="34" t="n">
        <v>60000</v>
      </c>
      <c r="D46" s="29" t="s">
        <v>156</v>
      </c>
      <c r="E46" s="25" t="s">
        <v>43</v>
      </c>
      <c r="F46" s="32" t="s">
        <v>79</v>
      </c>
      <c r="G46" s="33" t="s">
        <v>175</v>
      </c>
    </row>
    <row r="47" customFormat="false" ht="22.35" hidden="false" customHeight="false" outlineLevel="0" collapsed="false">
      <c r="A47" s="22" t="s">
        <v>146</v>
      </c>
      <c r="B47" s="23" t="s">
        <v>176</v>
      </c>
      <c r="C47" s="36" t="n">
        <v>30</v>
      </c>
      <c r="D47" s="23" t="s">
        <v>177</v>
      </c>
      <c r="E47" s="25" t="s">
        <v>43</v>
      </c>
      <c r="F47" s="26" t="s">
        <v>178</v>
      </c>
      <c r="G47" s="27" t="s">
        <v>179</v>
      </c>
    </row>
    <row r="48" customFormat="false" ht="12.8" hidden="false" customHeight="false" outlineLevel="0" collapsed="false">
      <c r="A48" s="28" t="s">
        <v>146</v>
      </c>
      <c r="B48" s="29" t="s">
        <v>180</v>
      </c>
      <c r="C48" s="36" t="n">
        <v>15</v>
      </c>
      <c r="D48" s="29" t="s">
        <v>181</v>
      </c>
      <c r="E48" s="25" t="s">
        <v>43</v>
      </c>
      <c r="F48" s="32" t="s">
        <v>79</v>
      </c>
      <c r="G48" s="33" t="s">
        <v>182</v>
      </c>
    </row>
    <row r="49" customFormat="false" ht="12.8" hidden="false" customHeight="false" outlineLevel="0" collapsed="false">
      <c r="A49" s="22" t="s">
        <v>146</v>
      </c>
      <c r="B49" s="23" t="s">
        <v>183</v>
      </c>
      <c r="C49" s="36" t="n">
        <v>0</v>
      </c>
      <c r="D49" s="23" t="s">
        <v>181</v>
      </c>
      <c r="E49" s="25" t="s">
        <v>43</v>
      </c>
      <c r="F49" s="26" t="s">
        <v>79</v>
      </c>
      <c r="G49" s="27" t="s">
        <v>184</v>
      </c>
    </row>
    <row r="50" customFormat="false" ht="64.15" hidden="false" customHeight="false" outlineLevel="0" collapsed="false">
      <c r="A50" s="28" t="s">
        <v>146</v>
      </c>
      <c r="B50" s="29" t="s">
        <v>185</v>
      </c>
      <c r="C50" s="34" t="n">
        <v>2393830</v>
      </c>
      <c r="D50" s="29" t="s">
        <v>156</v>
      </c>
      <c r="E50" s="31" t="s">
        <v>48</v>
      </c>
      <c r="F50" s="32" t="s">
        <v>186</v>
      </c>
      <c r="G50" s="33" t="s">
        <v>187</v>
      </c>
    </row>
    <row r="51" customFormat="false" ht="95.5" hidden="false" customHeight="false" outlineLevel="0" collapsed="false">
      <c r="A51" s="22" t="s">
        <v>146</v>
      </c>
      <c r="B51" s="23" t="s">
        <v>188</v>
      </c>
      <c r="C51" s="36" t="n">
        <v>60</v>
      </c>
      <c r="D51" s="23" t="s">
        <v>189</v>
      </c>
      <c r="E51" s="31" t="s">
        <v>48</v>
      </c>
      <c r="F51" s="26" t="s">
        <v>190</v>
      </c>
      <c r="G51" s="27" t="s">
        <v>191</v>
      </c>
    </row>
    <row r="52" customFormat="false" ht="64.15" hidden="false" customHeight="false" outlineLevel="0" collapsed="false">
      <c r="A52" s="28" t="s">
        <v>146</v>
      </c>
      <c r="B52" s="29" t="s">
        <v>192</v>
      </c>
      <c r="C52" s="36" t="n">
        <v>22</v>
      </c>
      <c r="D52" s="29" t="s">
        <v>193</v>
      </c>
      <c r="E52" s="31" t="s">
        <v>48</v>
      </c>
      <c r="F52" s="32" t="s">
        <v>194</v>
      </c>
      <c r="G52" s="33" t="s">
        <v>195</v>
      </c>
    </row>
    <row r="53" customFormat="false" ht="22.35" hidden="false" customHeight="false" outlineLevel="0" collapsed="false">
      <c r="A53" s="22" t="s">
        <v>196</v>
      </c>
      <c r="B53" s="23" t="s">
        <v>197</v>
      </c>
      <c r="C53" s="34" t="n">
        <v>2779980</v>
      </c>
      <c r="D53" s="23" t="s">
        <v>198</v>
      </c>
      <c r="E53" s="35" t="s">
        <v>57</v>
      </c>
      <c r="F53" s="26" t="s">
        <v>127</v>
      </c>
      <c r="G53" s="27" t="s">
        <v>199</v>
      </c>
    </row>
    <row r="54" customFormat="false" ht="12.8" hidden="false" customHeight="false" outlineLevel="0" collapsed="false">
      <c r="A54" s="28" t="s">
        <v>196</v>
      </c>
      <c r="B54" s="29" t="s">
        <v>200</v>
      </c>
      <c r="C54" s="34" t="n">
        <v>747815</v>
      </c>
      <c r="D54" s="29" t="s">
        <v>198</v>
      </c>
      <c r="E54" s="35" t="s">
        <v>57</v>
      </c>
      <c r="F54" s="32" t="s">
        <v>201</v>
      </c>
      <c r="G54" s="33" t="s">
        <v>202</v>
      </c>
    </row>
    <row r="55" customFormat="false" ht="22.35" hidden="false" customHeight="false" outlineLevel="0" collapsed="false">
      <c r="A55" s="22" t="s">
        <v>196</v>
      </c>
      <c r="B55" s="23" t="s">
        <v>203</v>
      </c>
      <c r="C55" s="34" t="n">
        <v>400000</v>
      </c>
      <c r="D55" s="23" t="s">
        <v>198</v>
      </c>
      <c r="E55" s="35" t="s">
        <v>57</v>
      </c>
      <c r="F55" s="26" t="s">
        <v>204</v>
      </c>
      <c r="G55" s="27" t="s">
        <v>205</v>
      </c>
    </row>
    <row r="56" customFormat="false" ht="22.35" hidden="false" customHeight="false" outlineLevel="0" collapsed="false">
      <c r="A56" s="28" t="s">
        <v>196</v>
      </c>
      <c r="B56" s="29" t="s">
        <v>206</v>
      </c>
      <c r="C56" s="34" t="n">
        <v>570000</v>
      </c>
      <c r="D56" s="29" t="s">
        <v>198</v>
      </c>
      <c r="E56" s="31" t="s">
        <v>48</v>
      </c>
      <c r="F56" s="32" t="s">
        <v>207</v>
      </c>
      <c r="G56" s="33" t="s">
        <v>208</v>
      </c>
    </row>
    <row r="57" customFormat="false" ht="22.35" hidden="false" customHeight="false" outlineLevel="0" collapsed="false">
      <c r="A57" s="22" t="s">
        <v>196</v>
      </c>
      <c r="B57" s="23" t="s">
        <v>209</v>
      </c>
      <c r="C57" s="34" t="n">
        <v>620000</v>
      </c>
      <c r="D57" s="23" t="s">
        <v>198</v>
      </c>
      <c r="E57" s="31" t="s">
        <v>48</v>
      </c>
      <c r="F57" s="26" t="s">
        <v>210</v>
      </c>
      <c r="G57" s="27" t="s">
        <v>211</v>
      </c>
    </row>
    <row r="58" customFormat="false" ht="22.35" hidden="false" customHeight="false" outlineLevel="0" collapsed="false">
      <c r="A58" s="28" t="s">
        <v>196</v>
      </c>
      <c r="B58" s="29" t="s">
        <v>212</v>
      </c>
      <c r="C58" s="34" t="n">
        <v>700000</v>
      </c>
      <c r="D58" s="29" t="s">
        <v>198</v>
      </c>
      <c r="E58" s="25" t="s">
        <v>43</v>
      </c>
      <c r="F58" s="32" t="s">
        <v>213</v>
      </c>
      <c r="G58" s="33" t="s">
        <v>214</v>
      </c>
    </row>
    <row r="59" customFormat="false" ht="12.8" hidden="false" customHeight="false" outlineLevel="0" collapsed="false">
      <c r="A59" s="22" t="s">
        <v>196</v>
      </c>
      <c r="B59" s="23" t="s">
        <v>215</v>
      </c>
      <c r="C59" s="34" t="n">
        <v>1800000</v>
      </c>
      <c r="D59" s="23" t="s">
        <v>198</v>
      </c>
      <c r="E59" s="25" t="s">
        <v>43</v>
      </c>
      <c r="F59" s="26" t="s">
        <v>79</v>
      </c>
      <c r="G59" s="27" t="s">
        <v>216</v>
      </c>
    </row>
    <row r="60" customFormat="false" ht="12.8" hidden="false" customHeight="false" outlineLevel="0" collapsed="false">
      <c r="A60" s="28" t="s">
        <v>196</v>
      </c>
      <c r="B60" s="29" t="s">
        <v>217</v>
      </c>
      <c r="C60" s="34" t="n">
        <v>1200000</v>
      </c>
      <c r="D60" s="29" t="s">
        <v>198</v>
      </c>
      <c r="E60" s="25" t="s">
        <v>43</v>
      </c>
      <c r="F60" s="32" t="s">
        <v>79</v>
      </c>
      <c r="G60" s="33" t="s">
        <v>218</v>
      </c>
    </row>
    <row r="61" customFormat="false" ht="137.3" hidden="false" customHeight="false" outlineLevel="0" collapsed="false">
      <c r="A61" s="22" t="s">
        <v>196</v>
      </c>
      <c r="B61" s="23" t="s">
        <v>219</v>
      </c>
      <c r="C61" s="34" t="n">
        <v>10120237</v>
      </c>
      <c r="D61" s="23" t="s">
        <v>198</v>
      </c>
      <c r="E61" s="31" t="s">
        <v>48</v>
      </c>
      <c r="F61" s="26" t="s">
        <v>220</v>
      </c>
      <c r="G61" s="27" t="s">
        <v>221</v>
      </c>
    </row>
    <row r="62" customFormat="false" ht="12.8" hidden="false" customHeight="false" outlineLevel="0" collapsed="false">
      <c r="A62" s="28" t="s">
        <v>196</v>
      </c>
      <c r="B62" s="29" t="s">
        <v>222</v>
      </c>
      <c r="C62" s="30" t="n">
        <v>0.15</v>
      </c>
      <c r="D62" s="29" t="s">
        <v>223</v>
      </c>
      <c r="E62" s="25" t="s">
        <v>43</v>
      </c>
      <c r="F62" s="32" t="s">
        <v>79</v>
      </c>
      <c r="G62" s="33" t="s">
        <v>224</v>
      </c>
    </row>
    <row r="63" customFormat="false" ht="22.35" hidden="false" customHeight="false" outlineLevel="0" collapsed="false">
      <c r="A63" s="22" t="s">
        <v>196</v>
      </c>
      <c r="B63" s="23" t="s">
        <v>225</v>
      </c>
      <c r="C63" s="34" t="n">
        <v>12000000</v>
      </c>
      <c r="D63" s="23" t="s">
        <v>198</v>
      </c>
      <c r="E63" s="25" t="s">
        <v>43</v>
      </c>
      <c r="F63" s="26" t="s">
        <v>149</v>
      </c>
      <c r="G63" s="27" t="s">
        <v>226</v>
      </c>
    </row>
    <row r="64" customFormat="false" ht="12.8" hidden="false" customHeight="false" outlineLevel="0" collapsed="false">
      <c r="A64" s="28" t="s">
        <v>196</v>
      </c>
      <c r="B64" s="29" t="s">
        <v>227</v>
      </c>
      <c r="C64" s="34" t="n">
        <v>1000000</v>
      </c>
      <c r="D64" s="29" t="s">
        <v>198</v>
      </c>
      <c r="E64" s="25" t="s">
        <v>43</v>
      </c>
      <c r="F64" s="32" t="s">
        <v>228</v>
      </c>
      <c r="G64" s="33" t="s">
        <v>229</v>
      </c>
    </row>
    <row r="65" customFormat="false" ht="12.8" hidden="false" customHeight="false" outlineLevel="0" collapsed="false">
      <c r="A65" s="22" t="s">
        <v>196</v>
      </c>
      <c r="B65" s="23" t="s">
        <v>230</v>
      </c>
      <c r="C65" s="34" t="n">
        <v>1500000</v>
      </c>
      <c r="D65" s="23" t="s">
        <v>198</v>
      </c>
      <c r="E65" s="25" t="s">
        <v>43</v>
      </c>
      <c r="F65" s="26" t="s">
        <v>79</v>
      </c>
      <c r="G65" s="27" t="s">
        <v>231</v>
      </c>
    </row>
    <row r="66" customFormat="false" ht="105.95" hidden="false" customHeight="false" outlineLevel="0" collapsed="false">
      <c r="A66" s="28" t="s">
        <v>196</v>
      </c>
      <c r="B66" s="29" t="s">
        <v>232</v>
      </c>
      <c r="C66" s="30" t="n">
        <v>0.15</v>
      </c>
      <c r="D66" s="29" t="s">
        <v>233</v>
      </c>
      <c r="E66" s="25" t="s">
        <v>43</v>
      </c>
      <c r="F66" s="32" t="s">
        <v>234</v>
      </c>
      <c r="G66" s="33" t="s">
        <v>235</v>
      </c>
    </row>
    <row r="67" customFormat="false" ht="12.8" hidden="false" customHeight="false" outlineLevel="0" collapsed="false">
      <c r="A67" s="22" t="s">
        <v>196</v>
      </c>
      <c r="B67" s="23" t="s">
        <v>236</v>
      </c>
      <c r="C67" s="36" t="n">
        <v>2</v>
      </c>
      <c r="D67" s="23" t="s">
        <v>237</v>
      </c>
      <c r="E67" s="25" t="s">
        <v>43</v>
      </c>
      <c r="F67" s="26" t="s">
        <v>79</v>
      </c>
      <c r="G67" s="27" t="s">
        <v>238</v>
      </c>
    </row>
    <row r="68" customFormat="false" ht="189.55" hidden="false" customHeight="false" outlineLevel="0" collapsed="false">
      <c r="A68" s="28" t="s">
        <v>196</v>
      </c>
      <c r="B68" s="29" t="s">
        <v>239</v>
      </c>
      <c r="C68" s="36" t="n">
        <v>10</v>
      </c>
      <c r="D68" s="29" t="s">
        <v>240</v>
      </c>
      <c r="E68" s="31" t="s">
        <v>48</v>
      </c>
      <c r="F68" s="32" t="s">
        <v>241</v>
      </c>
      <c r="G68" s="33" t="s">
        <v>242</v>
      </c>
    </row>
    <row r="69" customFormat="false" ht="12.8" hidden="false" customHeight="false" outlineLevel="0" collapsed="false">
      <c r="A69" s="22" t="s">
        <v>196</v>
      </c>
      <c r="B69" s="23" t="s">
        <v>243</v>
      </c>
      <c r="C69" s="30" t="n">
        <v>0.1</v>
      </c>
      <c r="D69" s="23" t="s">
        <v>244</v>
      </c>
      <c r="E69" s="25" t="s">
        <v>43</v>
      </c>
      <c r="F69" s="26" t="s">
        <v>79</v>
      </c>
      <c r="G69" s="27" t="s">
        <v>245</v>
      </c>
    </row>
    <row r="70" customFormat="false" ht="64.15" hidden="false" customHeight="false" outlineLevel="0" collapsed="false">
      <c r="A70" s="28" t="s">
        <v>246</v>
      </c>
      <c r="B70" s="29" t="s">
        <v>247</v>
      </c>
      <c r="C70" s="38" t="n">
        <v>0.72</v>
      </c>
      <c r="D70" s="29" t="s">
        <v>248</v>
      </c>
      <c r="E70" s="31" t="s">
        <v>48</v>
      </c>
      <c r="F70" s="32" t="s">
        <v>67</v>
      </c>
      <c r="G70" s="33" t="s">
        <v>249</v>
      </c>
    </row>
    <row r="71" customFormat="false" ht="64.15" hidden="false" customHeight="false" outlineLevel="0" collapsed="false">
      <c r="A71" s="22" t="s">
        <v>246</v>
      </c>
      <c r="B71" s="23" t="s">
        <v>250</v>
      </c>
      <c r="C71" s="36" t="n">
        <v>1</v>
      </c>
      <c r="D71" s="23" t="s">
        <v>251</v>
      </c>
      <c r="E71" s="37" t="s">
        <v>71</v>
      </c>
      <c r="F71" s="26" t="s">
        <v>252</v>
      </c>
      <c r="G71" s="27" t="s">
        <v>253</v>
      </c>
    </row>
    <row r="72" customFormat="false" ht="53.7" hidden="false" customHeight="false" outlineLevel="0" collapsed="false">
      <c r="A72" s="28" t="s">
        <v>246</v>
      </c>
      <c r="B72" s="29" t="s">
        <v>254</v>
      </c>
      <c r="C72" s="36" t="n">
        <v>1</v>
      </c>
      <c r="D72" s="29" t="s">
        <v>251</v>
      </c>
      <c r="E72" s="37" t="s">
        <v>71</v>
      </c>
      <c r="F72" s="32" t="s">
        <v>255</v>
      </c>
      <c r="G72" s="33" t="s">
        <v>256</v>
      </c>
    </row>
    <row r="73" customFormat="false" ht="53.7" hidden="false" customHeight="false" outlineLevel="0" collapsed="false">
      <c r="A73" s="22" t="s">
        <v>246</v>
      </c>
      <c r="B73" s="23" t="s">
        <v>257</v>
      </c>
      <c r="C73" s="36" t="n">
        <v>1</v>
      </c>
      <c r="D73" s="23" t="s">
        <v>251</v>
      </c>
      <c r="E73" s="37" t="s">
        <v>71</v>
      </c>
      <c r="F73" s="26" t="s">
        <v>258</v>
      </c>
      <c r="G73" s="27" t="s">
        <v>259</v>
      </c>
    </row>
    <row r="74" customFormat="false" ht="85.05" hidden="false" customHeight="false" outlineLevel="0" collapsed="false">
      <c r="A74" s="28" t="s">
        <v>246</v>
      </c>
      <c r="B74" s="29" t="s">
        <v>260</v>
      </c>
      <c r="C74" s="38" t="n">
        <v>1.3</v>
      </c>
      <c r="D74" s="29" t="s">
        <v>261</v>
      </c>
      <c r="E74" s="31" t="s">
        <v>48</v>
      </c>
      <c r="F74" s="32" t="s">
        <v>262</v>
      </c>
      <c r="G74" s="33" t="s">
        <v>263</v>
      </c>
    </row>
    <row r="75" customFormat="false" ht="22.35" hidden="false" customHeight="false" outlineLevel="0" collapsed="false">
      <c r="A75" s="22" t="s">
        <v>246</v>
      </c>
      <c r="B75" s="23" t="s">
        <v>264</v>
      </c>
      <c r="C75" s="36" t="n">
        <v>1</v>
      </c>
      <c r="D75" s="23" t="s">
        <v>251</v>
      </c>
      <c r="E75" s="35" t="s">
        <v>57</v>
      </c>
      <c r="F75" s="26" t="s">
        <v>265</v>
      </c>
      <c r="G75" s="27" t="s">
        <v>266</v>
      </c>
    </row>
    <row r="76" customFormat="false" ht="22.35" hidden="false" customHeight="false" outlineLevel="0" collapsed="false">
      <c r="A76" s="28" t="s">
        <v>246</v>
      </c>
      <c r="B76" s="29" t="s">
        <v>267</v>
      </c>
      <c r="C76" s="36" t="n">
        <v>1</v>
      </c>
      <c r="D76" s="29" t="s">
        <v>251</v>
      </c>
      <c r="E76" s="35" t="s">
        <v>57</v>
      </c>
      <c r="F76" s="32" t="s">
        <v>268</v>
      </c>
      <c r="G76" s="33" t="s">
        <v>269</v>
      </c>
    </row>
    <row r="77" customFormat="false" ht="12.8" hidden="false" customHeight="false" outlineLevel="0" collapsed="false">
      <c r="A77" s="22" t="s">
        <v>246</v>
      </c>
      <c r="B77" s="23" t="s">
        <v>270</v>
      </c>
      <c r="C77" s="36" t="n">
        <v>1</v>
      </c>
      <c r="D77" s="23" t="s">
        <v>251</v>
      </c>
      <c r="E77" s="35" t="s">
        <v>57</v>
      </c>
      <c r="F77" s="26" t="s">
        <v>271</v>
      </c>
      <c r="G77" s="27" t="s">
        <v>269</v>
      </c>
    </row>
    <row r="78" customFormat="false" ht="12.8" hidden="false" customHeight="false" outlineLevel="0" collapsed="false">
      <c r="A78" s="28" t="s">
        <v>246</v>
      </c>
      <c r="B78" s="29" t="s">
        <v>272</v>
      </c>
      <c r="C78" s="36" t="n">
        <v>1</v>
      </c>
      <c r="D78" s="29" t="s">
        <v>251</v>
      </c>
      <c r="E78" s="35" t="s">
        <v>57</v>
      </c>
      <c r="F78" s="32" t="s">
        <v>271</v>
      </c>
      <c r="G78" s="33" t="s">
        <v>269</v>
      </c>
    </row>
    <row r="79" customFormat="false" ht="12.8" hidden="false" customHeight="false" outlineLevel="0" collapsed="false">
      <c r="A79" s="22" t="s">
        <v>246</v>
      </c>
      <c r="B79" s="23" t="s">
        <v>273</v>
      </c>
      <c r="C79" s="36" t="n">
        <v>1</v>
      </c>
      <c r="D79" s="23" t="s">
        <v>251</v>
      </c>
      <c r="E79" s="35" t="s">
        <v>57</v>
      </c>
      <c r="F79" s="26" t="s">
        <v>271</v>
      </c>
      <c r="G79" s="27" t="s">
        <v>269</v>
      </c>
    </row>
    <row r="80" customFormat="false" ht="32.8" hidden="false" customHeight="false" outlineLevel="0" collapsed="false">
      <c r="A80" s="28" t="s">
        <v>246</v>
      </c>
      <c r="B80" s="29" t="s">
        <v>274</v>
      </c>
      <c r="C80" s="38" t="n">
        <v>1.2</v>
      </c>
      <c r="D80" s="29" t="s">
        <v>248</v>
      </c>
      <c r="E80" s="31" t="s">
        <v>48</v>
      </c>
      <c r="F80" s="32" t="s">
        <v>67</v>
      </c>
      <c r="G80" s="33" t="s">
        <v>275</v>
      </c>
    </row>
    <row r="81" customFormat="false" ht="53.7" hidden="false" customHeight="false" outlineLevel="0" collapsed="false">
      <c r="A81" s="22" t="s">
        <v>246</v>
      </c>
      <c r="B81" s="23" t="s">
        <v>276</v>
      </c>
      <c r="C81" s="36" t="n">
        <v>1</v>
      </c>
      <c r="D81" s="23" t="s">
        <v>251</v>
      </c>
      <c r="E81" s="37" t="s">
        <v>71</v>
      </c>
      <c r="F81" s="26" t="s">
        <v>277</v>
      </c>
      <c r="G81" s="27" t="s">
        <v>278</v>
      </c>
    </row>
    <row r="82" customFormat="false" ht="32.8" hidden="false" customHeight="false" outlineLevel="0" collapsed="false">
      <c r="A82" s="28" t="s">
        <v>246</v>
      </c>
      <c r="B82" s="29" t="s">
        <v>279</v>
      </c>
      <c r="C82" s="36" t="n">
        <v>1</v>
      </c>
      <c r="D82" s="29" t="s">
        <v>251</v>
      </c>
      <c r="E82" s="37" t="s">
        <v>71</v>
      </c>
      <c r="F82" s="32" t="s">
        <v>280</v>
      </c>
      <c r="G82" s="33" t="s">
        <v>281</v>
      </c>
    </row>
    <row r="83" customFormat="false" ht="43.25" hidden="false" customHeight="false" outlineLevel="0" collapsed="false">
      <c r="A83" s="22" t="s">
        <v>246</v>
      </c>
      <c r="B83" s="23" t="s">
        <v>282</v>
      </c>
      <c r="C83" s="36" t="n">
        <v>1</v>
      </c>
      <c r="D83" s="23" t="s">
        <v>251</v>
      </c>
      <c r="E83" s="37" t="s">
        <v>71</v>
      </c>
      <c r="F83" s="26" t="s">
        <v>283</v>
      </c>
      <c r="G83" s="27" t="s">
        <v>284</v>
      </c>
    </row>
    <row r="84" customFormat="false" ht="43.25" hidden="false" customHeight="false" outlineLevel="0" collapsed="false">
      <c r="A84" s="28" t="s">
        <v>246</v>
      </c>
      <c r="B84" s="29" t="s">
        <v>285</v>
      </c>
      <c r="C84" s="38" t="n">
        <v>0.8</v>
      </c>
      <c r="D84" s="29" t="s">
        <v>261</v>
      </c>
      <c r="E84" s="31" t="s">
        <v>48</v>
      </c>
      <c r="F84" s="32" t="s">
        <v>262</v>
      </c>
      <c r="G84" s="33" t="s">
        <v>286</v>
      </c>
    </row>
    <row r="85" customFormat="false" ht="64.15" hidden="false" customHeight="false" outlineLevel="0" collapsed="false">
      <c r="A85" s="22" t="s">
        <v>246</v>
      </c>
      <c r="B85" s="23" t="s">
        <v>287</v>
      </c>
      <c r="C85" s="38" t="n">
        <v>0.72</v>
      </c>
      <c r="D85" s="23" t="s">
        <v>248</v>
      </c>
      <c r="E85" s="31" t="s">
        <v>48</v>
      </c>
      <c r="F85" s="26" t="s">
        <v>67</v>
      </c>
      <c r="G85" s="27" t="s">
        <v>249</v>
      </c>
    </row>
    <row r="86" customFormat="false" ht="32.8" hidden="false" customHeight="false" outlineLevel="0" collapsed="false">
      <c r="A86" s="28" t="s">
        <v>246</v>
      </c>
      <c r="B86" s="29" t="s">
        <v>288</v>
      </c>
      <c r="C86" s="38" t="n">
        <v>1.2</v>
      </c>
      <c r="D86" s="29" t="s">
        <v>248</v>
      </c>
      <c r="E86" s="31" t="s">
        <v>48</v>
      </c>
      <c r="F86" s="32" t="s">
        <v>67</v>
      </c>
      <c r="G86" s="33" t="s">
        <v>275</v>
      </c>
    </row>
    <row r="87" customFormat="false" ht="12.8" hidden="false" customHeight="false" outlineLevel="0" collapsed="false">
      <c r="A87" s="22" t="s">
        <v>246</v>
      </c>
      <c r="B87" s="23" t="s">
        <v>289</v>
      </c>
      <c r="C87" s="36" t="n">
        <v>1</v>
      </c>
      <c r="D87" s="23" t="s">
        <v>251</v>
      </c>
      <c r="E87" s="37" t="s">
        <v>71</v>
      </c>
      <c r="F87" s="26" t="s">
        <v>252</v>
      </c>
      <c r="G87" s="27" t="s">
        <v>290</v>
      </c>
    </row>
    <row r="88" customFormat="false" ht="12.8" hidden="false" customHeight="false" outlineLevel="0" collapsed="false">
      <c r="A88" s="39" t="s">
        <v>246</v>
      </c>
      <c r="B88" s="40" t="s">
        <v>291</v>
      </c>
      <c r="C88" s="41" t="n">
        <v>1</v>
      </c>
      <c r="D88" s="40" t="s">
        <v>251</v>
      </c>
      <c r="E88" s="42" t="s">
        <v>71</v>
      </c>
      <c r="F88" s="43" t="s">
        <v>277</v>
      </c>
      <c r="G88" s="44" t="s">
        <v>290</v>
      </c>
    </row>
  </sheetData>
  <mergeCells count="2">
    <mergeCell ref="A1:G1"/>
    <mergeCell ref="A2:G2"/>
  </mergeCells>
  <conditionalFormatting sqref="E5:E88">
    <cfRule type="expression" priority="2" aboveAverage="0" equalAverage="0" bottom="0" percent="0" rank="0" text="" dxfId="18">
      <formula>EXACT(E5,"VERIFICADO")</formula>
    </cfRule>
    <cfRule type="expression" priority="3" aboveAverage="0" equalAverage="0" bottom="0" percent="0" rank="0" text="" dxfId="19">
      <formula>EXACT(E5,"SUPUESTO")</formula>
    </cfRule>
    <cfRule type="expression" priority="4" aboveAverage="0" equalAverage="0" bottom="0" percent="0" rank="0" text="" dxfId="20">
      <formula>EXACT(E5,"PENDIENTE")</formula>
    </cfRule>
  </conditionalFormatting>
  <dataValidations count="1">
    <dataValidation allowBlank="false" error="Use el desplegable: Pesimista, Base u Optimista." errorStyle="stop" errorTitle="Valor no permitido" operator="equal" prompt="Use el desplegable: Pesimista, Base u Optimista." promptTitle="Escenario activo" showDropDown="false" showErrorMessage="true" showInputMessage="true" sqref="C5" type="list">
      <formula1>Listas!$A$1:$A$3</formula1>
      <formula2>0</formula2>
    </dataValidation>
  </dataValidations>
  <printOptions headings="false" gridLines="false" gridLinesSet="true" horizontalCentered="false" verticalCentered="false"/>
  <pageMargins left="0.354166666666667" right="0.354166666666667" top="0.354166666666667" bottom="0.354166666666667" header="0.511811023622047" footer="0.511811023622047"/>
  <pageSetup paperSize="77"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D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3.2"/>
    <col collapsed="false" customWidth="true" hidden="false" outlineLevel="0" max="2" min="2" style="0" width="21.45"/>
    <col collapsed="false" customWidth="true" hidden="false" outlineLevel="0" max="3" min="3" style="0" width="33.2"/>
    <col collapsed="false" customWidth="true" hidden="false" outlineLevel="0" max="4" min="4" style="0" width="25.54"/>
  </cols>
  <sheetData>
    <row r="1" customFormat="false" ht="25.5" hidden="false" customHeight="true" outlineLevel="0" collapsed="false">
      <c r="A1" s="1" t="s">
        <v>292</v>
      </c>
      <c r="B1" s="1"/>
      <c r="C1" s="1"/>
      <c r="D1" s="1"/>
    </row>
    <row r="2" customFormat="false" ht="18.45" hidden="false" customHeight="true" outlineLevel="0" collapsed="false">
      <c r="A2" s="2" t="s">
        <v>293</v>
      </c>
      <c r="B2" s="2"/>
      <c r="C2" s="2"/>
      <c r="D2" s="2"/>
    </row>
    <row r="4" customFormat="false" ht="18.45" hidden="false" customHeight="true" outlineLevel="0" collapsed="false">
      <c r="A4" s="45" t="s">
        <v>294</v>
      </c>
      <c r="B4" s="45" t="s">
        <v>295</v>
      </c>
      <c r="C4" s="45" t="s">
        <v>296</v>
      </c>
      <c r="D4" s="45" t="s">
        <v>297</v>
      </c>
    </row>
    <row r="5" customFormat="false" ht="12.8" hidden="false" customHeight="false" outlineLevel="0" collapsed="false">
      <c r="A5" s="14" t="s">
        <v>298</v>
      </c>
      <c r="B5" s="46" t="n">
        <f aca="false">Calculos!$B$11</f>
        <v>10120237</v>
      </c>
      <c r="C5" s="14" t="s">
        <v>299</v>
      </c>
      <c r="D5" s="14" t="s">
        <v>300</v>
      </c>
    </row>
    <row r="6" customFormat="false" ht="12.8" hidden="false" customHeight="false" outlineLevel="0" collapsed="false">
      <c r="A6" s="47" t="s">
        <v>222</v>
      </c>
      <c r="B6" s="48" t="n">
        <f aca="false">Calculos!$B$12</f>
        <v>1518035.55</v>
      </c>
      <c r="C6" s="47" t="s">
        <v>299</v>
      </c>
      <c r="D6" s="47" t="s">
        <v>300</v>
      </c>
    </row>
    <row r="7" customFormat="false" ht="12.8" hidden="false" customHeight="false" outlineLevel="0" collapsed="false">
      <c r="A7" s="14" t="s">
        <v>301</v>
      </c>
      <c r="B7" s="46" t="n">
        <f aca="false">Calculos!$B$16-Calculos!$B$11-Calculos!$B$12</f>
        <v>15545740.8825</v>
      </c>
      <c r="C7" s="14" t="s">
        <v>299</v>
      </c>
      <c r="D7" s="14" t="s">
        <v>300</v>
      </c>
    </row>
    <row r="8" customFormat="false" ht="12.8" hidden="false" customHeight="false" outlineLevel="0" collapsed="false">
      <c r="A8" s="47" t="s">
        <v>302</v>
      </c>
      <c r="B8" s="48" t="n">
        <f aca="false">Calculos!$B$17-Calculos!$B$16</f>
        <v>2500000</v>
      </c>
      <c r="C8" s="47" t="s">
        <v>303</v>
      </c>
      <c r="D8" s="47" t="s">
        <v>300</v>
      </c>
    </row>
    <row r="9" customFormat="false" ht="12.8" hidden="false" customHeight="false" outlineLevel="0" collapsed="false">
      <c r="A9" s="14" t="s">
        <v>236</v>
      </c>
      <c r="B9" s="46" t="n">
        <f aca="false">Calculos!$B$20</f>
        <v>1519440</v>
      </c>
      <c r="C9" s="14" t="s">
        <v>304</v>
      </c>
      <c r="D9" s="14" t="s">
        <v>300</v>
      </c>
    </row>
    <row r="10" customFormat="false" ht="12.8" hidden="false" customHeight="false" outlineLevel="0" collapsed="false">
      <c r="A10" s="47" t="s">
        <v>305</v>
      </c>
      <c r="B10" s="48" t="n">
        <f aca="false">Calculos!$C$37</f>
        <v>7263576.65608767</v>
      </c>
      <c r="C10" s="47" t="s">
        <v>304</v>
      </c>
      <c r="D10" s="47" t="s">
        <v>300</v>
      </c>
    </row>
    <row r="12" customFormat="false" ht="12.8" hidden="false" customHeight="false" outlineLevel="0" collapsed="false">
      <c r="A12" s="49" t="s">
        <v>306</v>
      </c>
      <c r="B12" s="50" t="n">
        <f aca="false">Calculos!$B$46</f>
        <v>38467030.0885877</v>
      </c>
      <c r="C12" s="49"/>
      <c r="D12" s="49"/>
    </row>
  </sheetData>
  <sheetProtection sheet="true" objects="true" scenarios="true"/>
  <mergeCells count="2">
    <mergeCell ref="A1:D1"/>
    <mergeCell ref="A2:D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G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11.53515625" defaultRowHeight="12.8" zeroHeight="false" outlineLevelRow="0" outlineLevelCol="0"/>
  <cols>
    <col collapsed="false" customWidth="true" hidden="false" outlineLevel="0" max="1" min="1" style="0" width="33.2"/>
    <col collapsed="false" customWidth="true" hidden="false" outlineLevel="0" max="7" min="2" style="0" width="18.39"/>
  </cols>
  <sheetData>
    <row r="1" customFormat="false" ht="25.5" hidden="false" customHeight="true" outlineLevel="0" collapsed="false">
      <c r="A1" s="1" t="s">
        <v>307</v>
      </c>
      <c r="B1" s="1"/>
      <c r="C1" s="1"/>
      <c r="D1" s="1"/>
      <c r="E1" s="1"/>
      <c r="F1" s="1"/>
      <c r="G1" s="1"/>
    </row>
    <row r="2" customFormat="false" ht="18.45" hidden="false" customHeight="true" outlineLevel="0" collapsed="false">
      <c r="A2" s="2" t="s">
        <v>308</v>
      </c>
      <c r="B2" s="2"/>
      <c r="C2" s="2"/>
      <c r="D2" s="2"/>
      <c r="E2" s="2"/>
      <c r="F2" s="2"/>
      <c r="G2" s="2"/>
    </row>
    <row r="4" customFormat="false" ht="18.45" hidden="false" customHeight="true" outlineLevel="0" collapsed="false">
      <c r="A4" s="45" t="s">
        <v>294</v>
      </c>
      <c r="B4" s="45" t="s">
        <v>309</v>
      </c>
      <c r="C4" s="45" t="s">
        <v>310</v>
      </c>
      <c r="D4" s="45" t="s">
        <v>311</v>
      </c>
      <c r="E4" s="45" t="s">
        <v>312</v>
      </c>
      <c r="F4" s="45" t="s">
        <v>313</v>
      </c>
      <c r="G4" s="45" t="s">
        <v>314</v>
      </c>
    </row>
    <row r="5" customFormat="false" ht="12.8" hidden="false" customHeight="false" outlineLevel="0" collapsed="false">
      <c r="A5" s="14" t="s">
        <v>315</v>
      </c>
      <c r="B5" s="51" t="n">
        <f aca="false">Calculos!$B$23</f>
        <v>0</v>
      </c>
      <c r="C5" s="51" t="n">
        <f aca="false">Calculos!$C$23</f>
        <v>15840</v>
      </c>
      <c r="D5" s="51" t="n">
        <f aca="false">Calculos!$D$23</f>
        <v>15840</v>
      </c>
      <c r="E5" s="51" t="n">
        <f aca="false">Calculos!$E$23</f>
        <v>15840</v>
      </c>
      <c r="F5" s="51" t="n">
        <f aca="false">Calculos!$F$23</f>
        <v>15840</v>
      </c>
      <c r="G5" s="51" t="n">
        <f aca="false">Calculos!$G$23</f>
        <v>15840</v>
      </c>
    </row>
    <row r="6" customFormat="false" ht="12.8" hidden="false" customHeight="false" outlineLevel="0" collapsed="false">
      <c r="A6" s="47" t="s">
        <v>316</v>
      </c>
      <c r="B6" s="48" t="n">
        <f aca="false">Calculos!$B$25</f>
        <v>0</v>
      </c>
      <c r="C6" s="48" t="n">
        <f aca="false">Calculos!$C$25</f>
        <v>4326</v>
      </c>
      <c r="D6" s="48" t="n">
        <f aca="false">Calculos!$D$25</f>
        <v>4455.78</v>
      </c>
      <c r="E6" s="48" t="n">
        <f aca="false">Calculos!$E$25</f>
        <v>4589.4534</v>
      </c>
      <c r="F6" s="48" t="n">
        <f aca="false">Calculos!$F$25</f>
        <v>4727.137002</v>
      </c>
      <c r="G6" s="48" t="n">
        <f aca="false">Calculos!$G$25</f>
        <v>4868.95111206</v>
      </c>
    </row>
    <row r="7" customFormat="false" ht="12.8" hidden="false" customHeight="false" outlineLevel="0" collapsed="false">
      <c r="A7" s="14" t="s">
        <v>317</v>
      </c>
      <c r="B7" s="46" t="n">
        <f aca="false">Calculos!$B$27</f>
        <v>0</v>
      </c>
      <c r="C7" s="46" t="n">
        <f aca="false">Calculos!$C$27</f>
        <v>68523840</v>
      </c>
      <c r="D7" s="46" t="n">
        <f aca="false">Calculos!$D$27</f>
        <v>70579555.2</v>
      </c>
      <c r="E7" s="46" t="n">
        <f aca="false">Calculos!$E$27</f>
        <v>72696941.856</v>
      </c>
      <c r="F7" s="46" t="n">
        <f aca="false">Calculos!$F$27</f>
        <v>74877850.11168</v>
      </c>
      <c r="G7" s="46" t="n">
        <f aca="false">Calculos!$G$27</f>
        <v>77124185.6150304</v>
      </c>
    </row>
    <row r="8" customFormat="false" ht="12.8" hidden="false" customHeight="false" outlineLevel="0" collapsed="false">
      <c r="A8" s="47" t="s">
        <v>318</v>
      </c>
      <c r="B8" s="48" t="n">
        <f aca="false">Calculos!$B$28</f>
        <v>0</v>
      </c>
      <c r="C8" s="48" t="n">
        <f aca="false">Calculos!$C$28</f>
        <v>39699351.9648</v>
      </c>
      <c r="D8" s="48" t="n">
        <f aca="false">Calculos!$D$28</f>
        <v>40890332.523744</v>
      </c>
      <c r="E8" s="48" t="n">
        <f aca="false">Calculos!$E$28</f>
        <v>42117042.4994563</v>
      </c>
      <c r="F8" s="48" t="n">
        <f aca="false">Calculos!$F$28</f>
        <v>43380553.77444</v>
      </c>
      <c r="G8" s="48" t="n">
        <f aca="false">Calculos!$G$28</f>
        <v>44681970.3876732</v>
      </c>
    </row>
    <row r="9" customFormat="false" ht="12.8" hidden="false" customHeight="false" outlineLevel="0" collapsed="false">
      <c r="A9" s="14" t="s">
        <v>319</v>
      </c>
      <c r="B9" s="46" t="n">
        <f aca="false">Calculos!$B$29</f>
        <v>0</v>
      </c>
      <c r="C9" s="46" t="n">
        <f aca="false">Calculos!$C$29</f>
        <v>47382678</v>
      </c>
      <c r="D9" s="46" t="n">
        <f aca="false">Calculos!$D$29</f>
        <v>48804158.34</v>
      </c>
      <c r="E9" s="46" t="n">
        <f aca="false">Calculos!$E$29</f>
        <v>50268283.0902</v>
      </c>
      <c r="F9" s="46" t="n">
        <f aca="false">Calculos!$F$29</f>
        <v>51776331.582906</v>
      </c>
      <c r="G9" s="46" t="n">
        <f aca="false">Calculos!$G$29</f>
        <v>53329621.5303932</v>
      </c>
    </row>
    <row r="10" customFormat="false" ht="12.8" hidden="false" customHeight="false" outlineLevel="0" collapsed="false">
      <c r="A10" s="49" t="s">
        <v>320</v>
      </c>
      <c r="B10" s="50" t="n">
        <f aca="false">Calculos!$B$30</f>
        <v>0</v>
      </c>
      <c r="C10" s="50" t="n">
        <f aca="false">Calculos!$C$30</f>
        <v>-18558189.9648</v>
      </c>
      <c r="D10" s="50" t="n">
        <f aca="false">Calculos!$D$30</f>
        <v>-19114935.663744</v>
      </c>
      <c r="E10" s="50" t="n">
        <f aca="false">Calculos!$E$30</f>
        <v>-19688383.7336563</v>
      </c>
      <c r="F10" s="50" t="n">
        <f aca="false">Calculos!$F$30</f>
        <v>-20279035.245666</v>
      </c>
      <c r="G10" s="50" t="n">
        <f aca="false">Calculos!$G$30</f>
        <v>-20887406.303036</v>
      </c>
    </row>
    <row r="11" customFormat="false" ht="12.8" hidden="false" customHeight="false" outlineLevel="0" collapsed="false">
      <c r="A11" s="14" t="s">
        <v>321</v>
      </c>
      <c r="B11" s="46" t="n">
        <f aca="false">Calculos!$B$31</f>
        <v>0</v>
      </c>
      <c r="C11" s="46" t="n">
        <f aca="false">Calculos!$C$31</f>
        <v>2718401.34325</v>
      </c>
      <c r="D11" s="46" t="n">
        <f aca="false">Calculos!$D$31</f>
        <v>2718401.34325</v>
      </c>
      <c r="E11" s="46" t="n">
        <f aca="false">Calculos!$E$31</f>
        <v>2718401.34325</v>
      </c>
      <c r="F11" s="46" t="n">
        <f aca="false">Calculos!$F$31</f>
        <v>2718401.34325</v>
      </c>
      <c r="G11" s="46" t="n">
        <f aca="false">Calculos!$G$31</f>
        <v>2718401.34325</v>
      </c>
    </row>
    <row r="12" customFormat="false" ht="12.8" hidden="false" customHeight="false" outlineLevel="0" collapsed="false">
      <c r="A12" s="49" t="s">
        <v>322</v>
      </c>
      <c r="B12" s="50" t="n">
        <f aca="false">Calculos!$B$32</f>
        <v>0</v>
      </c>
      <c r="C12" s="50" t="n">
        <f aca="false">Calculos!$C$32</f>
        <v>-21276591.30805</v>
      </c>
      <c r="D12" s="50" t="n">
        <f aca="false">Calculos!$D$32</f>
        <v>-21833337.006994</v>
      </c>
      <c r="E12" s="50" t="n">
        <f aca="false">Calculos!$E$32</f>
        <v>-22406785.0769063</v>
      </c>
      <c r="F12" s="50" t="n">
        <f aca="false">Calculos!$F$32</f>
        <v>-22997436.588916</v>
      </c>
      <c r="G12" s="50" t="n">
        <f aca="false">Calculos!$G$32</f>
        <v>-23605807.646286</v>
      </c>
    </row>
    <row r="13" customFormat="false" ht="12.8" hidden="false" customHeight="false" outlineLevel="0" collapsed="false">
      <c r="A13" s="14" t="s">
        <v>323</v>
      </c>
      <c r="B13" s="46" t="n">
        <f aca="false">Calculos!$B$33</f>
        <v>0</v>
      </c>
      <c r="C13" s="46" t="n">
        <f aca="false">Calculos!$C$33</f>
        <v>0</v>
      </c>
      <c r="D13" s="46" t="n">
        <f aca="false">Calculos!$D$33</f>
        <v>21276591.30805</v>
      </c>
      <c r="E13" s="46" t="n">
        <f aca="false">Calculos!$E$33</f>
        <v>43109928.315044</v>
      </c>
      <c r="F13" s="46" t="n">
        <f aca="false">Calculos!$F$33</f>
        <v>65516713.3919503</v>
      </c>
      <c r="G13" s="46" t="n">
        <f aca="false">Calculos!$G$33</f>
        <v>88514149.9808663</v>
      </c>
    </row>
    <row r="14" customFormat="false" ht="12.8" hidden="false" customHeight="false" outlineLevel="0" collapsed="false">
      <c r="A14" s="47" t="s">
        <v>324</v>
      </c>
      <c r="B14" s="48" t="n">
        <f aca="false">Calculos!$B$34</f>
        <v>0</v>
      </c>
      <c r="C14" s="48" t="n">
        <f aca="false">Calculos!$C$34</f>
        <v>0</v>
      </c>
      <c r="D14" s="48" t="n">
        <f aca="false">Calculos!$D$34</f>
        <v>0</v>
      </c>
      <c r="E14" s="48" t="n">
        <f aca="false">Calculos!$E$34</f>
        <v>0</v>
      </c>
      <c r="F14" s="48" t="n">
        <f aca="false">Calculos!$F$34</f>
        <v>0</v>
      </c>
      <c r="G14" s="48" t="n">
        <f aca="false">Calculos!$G$34</f>
        <v>0</v>
      </c>
    </row>
    <row r="15" customFormat="false" ht="12.8" hidden="false" customHeight="false" outlineLevel="0" collapsed="false">
      <c r="A15" s="14" t="s">
        <v>325</v>
      </c>
      <c r="B15" s="46" t="n">
        <f aca="false">Calculos!$B$35</f>
        <v>0</v>
      </c>
      <c r="C15" s="46" t="n">
        <f aca="false">Calculos!$C$35</f>
        <v>0</v>
      </c>
      <c r="D15" s="46" t="n">
        <f aca="false">Calculos!$D$35</f>
        <v>0</v>
      </c>
      <c r="E15" s="46" t="n">
        <f aca="false">Calculos!$E$35</f>
        <v>0</v>
      </c>
      <c r="F15" s="46" t="n">
        <f aca="false">Calculos!$F$35</f>
        <v>0</v>
      </c>
      <c r="G15" s="46" t="n">
        <f aca="false">Calculos!$G$35</f>
        <v>0</v>
      </c>
    </row>
    <row r="16" customFormat="false" ht="12.8" hidden="false" customHeight="false" outlineLevel="0" collapsed="false">
      <c r="A16" s="47" t="s">
        <v>326</v>
      </c>
      <c r="B16" s="48" t="n">
        <f aca="false">Calculos!$B$36</f>
        <v>0</v>
      </c>
      <c r="C16" s="48" t="n">
        <f aca="false">Calculos!$C$36</f>
        <v>21276591.30805</v>
      </c>
      <c r="D16" s="48" t="n">
        <f aca="false">Calculos!$D$36</f>
        <v>43109928.315044</v>
      </c>
      <c r="E16" s="48" t="n">
        <f aca="false">Calculos!$E$36</f>
        <v>65516713.3919503</v>
      </c>
      <c r="F16" s="48" t="n">
        <f aca="false">Calculos!$F$36</f>
        <v>88514149.9808663</v>
      </c>
      <c r="G16" s="48" t="n">
        <f aca="false">Calculos!$G$36</f>
        <v>112119957.627152</v>
      </c>
    </row>
    <row r="17" customFormat="false" ht="12.8" hidden="false" customHeight="false" outlineLevel="0" collapsed="false">
      <c r="A17" s="14" t="s">
        <v>327</v>
      </c>
      <c r="B17" s="46" t="n">
        <f aca="false">Calculos!$B$37</f>
        <v>0</v>
      </c>
      <c r="C17" s="46" t="n">
        <f aca="false">Calculos!$C$37</f>
        <v>7263576.65608767</v>
      </c>
      <c r="D17" s="46" t="n">
        <f aca="false">Calculos!$D$37</f>
        <v>7481483.9557703</v>
      </c>
      <c r="E17" s="46" t="n">
        <f aca="false">Calculos!$E$37</f>
        <v>7705928.47444341</v>
      </c>
      <c r="F17" s="46" t="n">
        <f aca="false">Calculos!$F$37</f>
        <v>7937106.32867671</v>
      </c>
      <c r="G17" s="46" t="n">
        <f aca="false">Calculos!$G$37</f>
        <v>8175219.51853702</v>
      </c>
    </row>
    <row r="18" customFormat="false" ht="12.8" hidden="false" customHeight="false" outlineLevel="0" collapsed="false">
      <c r="A18" s="47" t="s">
        <v>328</v>
      </c>
      <c r="B18" s="48" t="n">
        <f aca="false">Calculos!$B$38</f>
        <v>0</v>
      </c>
      <c r="C18" s="48" t="n">
        <f aca="false">Calculos!$C$38</f>
        <v>0</v>
      </c>
      <c r="D18" s="48" t="n">
        <f aca="false">Calculos!$D$38</f>
        <v>217907.299682629</v>
      </c>
      <c r="E18" s="48" t="n">
        <f aca="false">Calculos!$E$38</f>
        <v>224444.51867311</v>
      </c>
      <c r="F18" s="48" t="n">
        <f aca="false">Calculos!$F$38</f>
        <v>231177.854233301</v>
      </c>
      <c r="G18" s="48" t="n">
        <f aca="false">Calculos!$G$38</f>
        <v>238113.189860302</v>
      </c>
    </row>
    <row r="19" customFormat="false" ht="12.8" hidden="false" customHeight="false" outlineLevel="0" collapsed="false">
      <c r="A19" s="14" t="s">
        <v>329</v>
      </c>
      <c r="B19" s="46" t="n">
        <f aca="false">Calculos!$B$39</f>
        <v>0</v>
      </c>
      <c r="C19" s="46" t="n">
        <f aca="false">Calculos!$C$39</f>
        <v>0</v>
      </c>
      <c r="D19" s="46" t="n">
        <f aca="false">Calculos!$D$39</f>
        <v>0</v>
      </c>
      <c r="E19" s="46" t="n">
        <f aca="false">Calculos!$E$39</f>
        <v>0</v>
      </c>
      <c r="F19" s="46" t="n">
        <f aca="false">Calculos!$F$39</f>
        <v>0</v>
      </c>
      <c r="G19" s="46" t="n">
        <f aca="false">Calculos!$G$39</f>
        <v>12413060.861787</v>
      </c>
    </row>
    <row r="20" customFormat="false" ht="12.8" hidden="false" customHeight="false" outlineLevel="0" collapsed="false">
      <c r="A20" s="49" t="s">
        <v>330</v>
      </c>
      <c r="B20" s="50" t="n">
        <f aca="false">Calculos!$B$40</f>
        <v>-38467030.0885877</v>
      </c>
      <c r="C20" s="50" t="n">
        <f aca="false">Calculos!$C$40</f>
        <v>-18558189.9648</v>
      </c>
      <c r="D20" s="50" t="n">
        <f aca="false">Calculos!$D$40</f>
        <v>-19332842.9634266</v>
      </c>
      <c r="E20" s="50" t="n">
        <f aca="false">Calculos!$E$40</f>
        <v>-19912828.2523294</v>
      </c>
      <c r="F20" s="50" t="n">
        <f aca="false">Calculos!$F$40</f>
        <v>-20510213.0998993</v>
      </c>
      <c r="G20" s="50" t="n">
        <f aca="false">Calculos!$G$40</f>
        <v>-8712458.63110929</v>
      </c>
    </row>
    <row r="21" customFormat="false" ht="12.8" hidden="false" customHeight="false" outlineLevel="0" collapsed="false">
      <c r="A21" s="14" t="s">
        <v>331</v>
      </c>
      <c r="B21" s="46" t="n">
        <f aca="false">Calculos!$B$41</f>
        <v>1</v>
      </c>
      <c r="C21" s="46" t="n">
        <f aca="false">Calculos!$C$41</f>
        <v>0.830151087497925</v>
      </c>
      <c r="D21" s="46" t="n">
        <f aca="false">Calculos!$D$41</f>
        <v>0.689150828073987</v>
      </c>
      <c r="E21" s="46" t="n">
        <f aca="false">Calculos!$E$41</f>
        <v>0.572099309375715</v>
      </c>
      <c r="F21" s="46" t="n">
        <f aca="false">Calculos!$F$41</f>
        <v>0.474928863835062</v>
      </c>
      <c r="G21" s="46" t="n">
        <f aca="false">Calculos!$G$41</f>
        <v>0.39426271279683</v>
      </c>
    </row>
    <row r="22" customFormat="false" ht="12.8" hidden="false" customHeight="false" outlineLevel="0" collapsed="false">
      <c r="A22" s="49" t="s">
        <v>332</v>
      </c>
      <c r="B22" s="50" t="n">
        <f aca="false">Calculos!$B$42</f>
        <v>-38467030.0885877</v>
      </c>
      <c r="C22" s="50" t="n">
        <f aca="false">Calculos!$C$42</f>
        <v>-15406101.5812718</v>
      </c>
      <c r="D22" s="50" t="n">
        <f aca="false">Calculos!$D$42</f>
        <v>-13323244.7372698</v>
      </c>
      <c r="E22" s="50" t="n">
        <f aca="false">Calculos!$E$42</f>
        <v>-11392115.2908749</v>
      </c>
      <c r="F22" s="50" t="n">
        <f aca="false">Calculos!$F$42</f>
        <v>-9740892.20455019</v>
      </c>
      <c r="G22" s="50" t="n">
        <f aca="false">Calculos!$G$42</f>
        <v>-3434997.57503131</v>
      </c>
    </row>
    <row r="23" customFormat="false" ht="12.8" hidden="false" customHeight="false" outlineLevel="0" collapsed="false">
      <c r="A23" s="14" t="s">
        <v>333</v>
      </c>
      <c r="B23" s="46" t="n">
        <f aca="false">Calculos!$B$43</f>
        <v>-38467030.0885877</v>
      </c>
      <c r="C23" s="46" t="n">
        <f aca="false">Calculos!$C$43</f>
        <v>-57025220.0533877</v>
      </c>
      <c r="D23" s="46" t="n">
        <f aca="false">Calculos!$D$43</f>
        <v>-76358063.0168143</v>
      </c>
      <c r="E23" s="46" t="n">
        <f aca="false">Calculos!$E$43</f>
        <v>-96270891.2691437</v>
      </c>
      <c r="F23" s="46" t="n">
        <f aca="false">Calculos!$F$43</f>
        <v>-116781104.369043</v>
      </c>
      <c r="G23" s="46" t="n">
        <f aca="false">Calculos!$G$43</f>
        <v>-125493563.000152</v>
      </c>
    </row>
    <row r="24" customFormat="false" ht="12.8" hidden="false" customHeight="false" outlineLevel="0" collapsed="false">
      <c r="A24" s="47" t="s">
        <v>334</v>
      </c>
      <c r="B24" s="48" t="n">
        <f aca="false">Calculos!$B$44</f>
        <v>-38467030.0885877</v>
      </c>
      <c r="C24" s="48" t="n">
        <f aca="false">Calculos!$C$44</f>
        <v>-53873131.6698595</v>
      </c>
      <c r="D24" s="48" t="n">
        <f aca="false">Calculos!$D$44</f>
        <v>-67196376.4071293</v>
      </c>
      <c r="E24" s="48" t="n">
        <f aca="false">Calculos!$E$44</f>
        <v>-78588491.6980042</v>
      </c>
      <c r="F24" s="48" t="n">
        <f aca="false">Calculos!$F$44</f>
        <v>-88329383.9025544</v>
      </c>
      <c r="G24" s="48" t="n">
        <f aca="false">Calculos!$G$44</f>
        <v>-91764381.4775857</v>
      </c>
    </row>
  </sheetData>
  <sheetProtection sheet="true" objects="true" scenarios="true"/>
  <mergeCells count="2">
    <mergeCell ref="A1:G1"/>
    <mergeCell ref="A2:G2"/>
  </mergeCells>
  <printOptions headings="false" gridLines="false" gridLinesSet="true" horizontalCentered="false" verticalCentered="false"/>
  <pageMargins left="0.354166666666667" right="0.354166666666667" top="0.354166666666667" bottom="0.354166666666667" header="0.511811023622047" footer="0.511811023622047"/>
  <pageSetup paperSize="77" scale="100" fitToWidth="1" fitToHeight="0" pageOrder="downThenOver" orientation="landscape"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G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0" width="21.45"/>
    <col collapsed="false" customWidth="true" hidden="false" outlineLevel="0" max="3" min="3" style="0" width="15.32"/>
    <col collapsed="false" customWidth="true" hidden="false" outlineLevel="0" max="6" min="4" style="0" width="21.45"/>
    <col collapsed="false" customWidth="true" hidden="false" outlineLevel="0" max="7" min="7" style="0" width="25.54"/>
  </cols>
  <sheetData>
    <row r="1" customFormat="false" ht="25.5" hidden="false" customHeight="true" outlineLevel="0" collapsed="false">
      <c r="A1" s="1" t="s">
        <v>335</v>
      </c>
      <c r="B1" s="1"/>
      <c r="C1" s="1"/>
      <c r="D1" s="1"/>
      <c r="E1" s="1"/>
      <c r="F1" s="1"/>
      <c r="G1" s="1"/>
    </row>
    <row r="2" customFormat="false" ht="18.45" hidden="false" customHeight="true" outlineLevel="0" collapsed="false">
      <c r="A2" s="2" t="s">
        <v>336</v>
      </c>
      <c r="B2" s="2"/>
      <c r="C2" s="2"/>
      <c r="D2" s="2"/>
      <c r="E2" s="2"/>
      <c r="F2" s="2"/>
      <c r="G2" s="2"/>
    </row>
    <row r="4" customFormat="false" ht="18.45" hidden="false" customHeight="true" outlineLevel="0" collapsed="false">
      <c r="A4" s="45" t="s">
        <v>4</v>
      </c>
      <c r="B4" s="45" t="s">
        <v>7</v>
      </c>
      <c r="C4" s="45" t="s">
        <v>9</v>
      </c>
      <c r="D4" s="45" t="s">
        <v>3</v>
      </c>
      <c r="E4" s="45" t="s">
        <v>5</v>
      </c>
      <c r="F4" s="45" t="s">
        <v>10</v>
      </c>
      <c r="G4" s="45" t="s">
        <v>337</v>
      </c>
    </row>
    <row r="5" customFormat="false" ht="12.8" hidden="false" customHeight="false" outlineLevel="0" collapsed="false">
      <c r="A5" s="52" t="s">
        <v>338</v>
      </c>
      <c r="B5" s="53" t="n">
        <f aca="false">Calculos!$B$102</f>
        <v>-159029618.3334</v>
      </c>
      <c r="C5" s="54" t="e">
        <f aca="false">Calculos!$B$103</f>
        <v>#N/A</v>
      </c>
      <c r="D5" s="53" t="n">
        <f aca="false">Calculos!$B$101</f>
        <v>45795247.1155979</v>
      </c>
      <c r="E5" s="53" t="n">
        <f aca="false">Calculos!$B$106</f>
        <v>235447911.006086</v>
      </c>
      <c r="F5" s="55" t="e">
        <f aca="false">Calculos!$B$104</f>
        <v>#N/A</v>
      </c>
      <c r="G5" s="56" t="n">
        <f aca="false">Calculos!$B$107</f>
        <v>6489.55691809739</v>
      </c>
    </row>
    <row r="6" customFormat="false" ht="12.8" hidden="false" customHeight="false" outlineLevel="0" collapsed="false">
      <c r="A6" s="57" t="s">
        <v>41</v>
      </c>
      <c r="B6" s="58" t="n">
        <f aca="false">Calculos!$B$157</f>
        <v>-91764381.4775857</v>
      </c>
      <c r="C6" s="59" t="e">
        <f aca="false">Calculos!$B$158</f>
        <v>#N/A</v>
      </c>
      <c r="D6" s="58" t="n">
        <f aca="false">Calculos!$B$156</f>
        <v>38467030.0885877</v>
      </c>
      <c r="E6" s="58" t="n">
        <f aca="false">Calculos!$B$161</f>
        <v>125493563.000152</v>
      </c>
      <c r="F6" s="60" t="e">
        <f aca="false">Calculos!$B$159</f>
        <v>#N/A</v>
      </c>
      <c r="G6" s="61" t="n">
        <f aca="false">Calculos!$B$162</f>
        <v>2169.86108768423</v>
      </c>
    </row>
    <row r="7" customFormat="false" ht="12.8" hidden="false" customHeight="false" outlineLevel="0" collapsed="false">
      <c r="A7" s="62" t="s">
        <v>339</v>
      </c>
      <c r="B7" s="63" t="n">
        <f aca="false">Calculos!$B$212</f>
        <v>-44126530.139782</v>
      </c>
      <c r="C7" s="64" t="e">
        <f aca="false">Calculos!$B$213</f>
        <v>#N/A</v>
      </c>
      <c r="D7" s="63" t="n">
        <f aca="false">Calculos!$B$211</f>
        <v>33656646.6897589</v>
      </c>
      <c r="E7" s="63" t="n">
        <f aca="false">Calculos!$B$216</f>
        <v>54739533.0179662</v>
      </c>
      <c r="F7" s="65" t="e">
        <f aca="false">Calculos!$B$214</f>
        <v>#N/A</v>
      </c>
      <c r="G7" s="66" t="n">
        <f aca="false">Calculos!$B$217</f>
        <v>1470.63788062113</v>
      </c>
    </row>
  </sheetData>
  <sheetProtection sheet="true" objects="true" scenarios="true"/>
  <mergeCells count="2">
    <mergeCell ref="A1:G1"/>
    <mergeCell ref="A2:G2"/>
  </mergeCells>
  <printOptions headings="false" gridLines="false" gridLinesSet="true" horizontalCentered="false" verticalCentered="false"/>
  <pageMargins left="0.354166666666667" right="0.354166666666667" top="0.354166666666667" bottom="0.354166666666667"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E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1.45"/>
    <col collapsed="false" customWidth="true" hidden="false" outlineLevel="0" max="4" min="2" style="0" width="24.52"/>
    <col collapsed="false" customWidth="true" hidden="false" outlineLevel="0" max="5" min="5" style="0" width="7.66"/>
  </cols>
  <sheetData>
    <row r="1" customFormat="false" ht="25.5" hidden="false" customHeight="true" outlineLevel="0" collapsed="false">
      <c r="A1" s="1" t="s">
        <v>340</v>
      </c>
      <c r="B1" s="1"/>
      <c r="C1" s="1"/>
      <c r="D1" s="1"/>
      <c r="E1" s="1"/>
    </row>
    <row r="2" customFormat="false" ht="18.45" hidden="false" customHeight="true" outlineLevel="0" collapsed="false">
      <c r="A2" s="2" t="s">
        <v>341</v>
      </c>
      <c r="B2" s="2"/>
      <c r="C2" s="2"/>
      <c r="D2" s="2"/>
      <c r="E2" s="2"/>
    </row>
    <row r="4" customFormat="false" ht="18.45" hidden="false" customHeight="true" outlineLevel="0" collapsed="false">
      <c r="A4" s="67" t="s">
        <v>342</v>
      </c>
      <c r="B4" s="68" t="n">
        <f aca="false">(Inputs!$C$85)-1</f>
        <v>-0.28</v>
      </c>
      <c r="C4" s="68" t="n">
        <f aca="false">(1)-1</f>
        <v>0</v>
      </c>
      <c r="D4" s="68" t="n">
        <f aca="false">(Inputs!$C$86)-1</f>
        <v>0.2</v>
      </c>
    </row>
    <row r="5" customFormat="false" ht="12.8" hidden="false" customHeight="false" outlineLevel="0" collapsed="false">
      <c r="A5" s="69" t="n">
        <f aca="false">(Inputs!$C$87)-1</f>
        <v>0</v>
      </c>
      <c r="B5" s="70" t="n">
        <f aca="false">Calculos!$B$267</f>
        <v>-150445943.590068</v>
      </c>
      <c r="C5" s="70" t="n">
        <f aca="false">Calculos!$B$322</f>
        <v>-91764381.4775857</v>
      </c>
      <c r="D5" s="70" t="n">
        <f aca="false">Calculos!$B$377</f>
        <v>-49848979.96867</v>
      </c>
    </row>
    <row r="6" customFormat="false" ht="12.8" hidden="false" customHeight="false" outlineLevel="0" collapsed="false">
      <c r="A6" s="69" t="n">
        <f aca="false">(1)-1</f>
        <v>0</v>
      </c>
      <c r="B6" s="70" t="n">
        <f aca="false">Calculos!$B$432</f>
        <v>-150445943.590068</v>
      </c>
      <c r="C6" s="70" t="n">
        <f aca="false">Calculos!$B$487</f>
        <v>-91764381.4775857</v>
      </c>
      <c r="D6" s="70" t="n">
        <f aca="false">Calculos!$B$542</f>
        <v>-49848979.96867</v>
      </c>
    </row>
    <row r="7" customFormat="false" ht="12.8" hidden="false" customHeight="false" outlineLevel="0" collapsed="false">
      <c r="A7" s="69" t="n">
        <f aca="false">(Inputs!$C$88)-1</f>
        <v>0</v>
      </c>
      <c r="B7" s="70" t="n">
        <f aca="false">Calculos!$B$597</f>
        <v>-150445943.590068</v>
      </c>
      <c r="C7" s="70" t="n">
        <f aca="false">Calculos!$B$652</f>
        <v>-91764381.4775857</v>
      </c>
      <c r="D7" s="70" t="n">
        <f aca="false">Calculos!$B$707</f>
        <v>-49848979.96867</v>
      </c>
    </row>
  </sheetData>
  <sheetProtection sheet="true" objects="true" scenarios="true"/>
  <mergeCells count="2">
    <mergeCell ref="A1:E1"/>
    <mergeCell ref="A2:E2"/>
  </mergeCells>
  <conditionalFormatting sqref="B5:D7">
    <cfRule type="expression" priority="2" aboveAverage="0" equalAverage="0" bottom="0" percent="0" rank="0" text="" dxfId="0">
      <formula>B5&gt;=0</formula>
    </cfRule>
    <cfRule type="expression" priority="3" aboveAverage="0" equalAverage="0" bottom="0" percent="0" rank="0" text="" dxfId="1">
      <formula>B5&lt;0</formula>
    </cfRule>
  </conditionalFormatting>
  <printOptions headings="false" gridLines="false" gridLinesSet="true" horizontalCentered="false" verticalCentered="false"/>
  <pageMargins left="0.354166666666667" right="0.354166666666667" top="0.354166666666667" bottom="0.354166666666667"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G8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11.53515625" defaultRowHeight="12.8" zeroHeight="false" outlineLevelRow="0" outlineLevelCol="0"/>
  <cols>
    <col collapsed="false" customWidth="true" hidden="false" outlineLevel="0" max="1" min="1" style="0" width="27.58"/>
    <col collapsed="false" customWidth="true" hidden="false" outlineLevel="0" max="2" min="2" style="0" width="15.32"/>
    <col collapsed="false" customWidth="true" hidden="false" outlineLevel="0" max="3" min="3" style="0" width="18.39"/>
    <col collapsed="false" customWidth="true" hidden="false" outlineLevel="0" max="4" min="4" style="0" width="14.3"/>
    <col collapsed="false" customWidth="true" hidden="false" outlineLevel="0" max="5" min="5" style="0" width="51.07"/>
    <col collapsed="false" customWidth="true" hidden="false" outlineLevel="0" max="6" min="6" style="0" width="56.18"/>
  </cols>
  <sheetData>
    <row r="1" customFormat="false" ht="25.5" hidden="false" customHeight="true" outlineLevel="0" collapsed="false">
      <c r="A1" s="1" t="s">
        <v>343</v>
      </c>
      <c r="B1" s="1"/>
      <c r="C1" s="1"/>
      <c r="D1" s="1"/>
      <c r="E1" s="1"/>
      <c r="F1" s="1"/>
      <c r="G1" s="1"/>
    </row>
    <row r="2" customFormat="false" ht="18.45" hidden="false" customHeight="true" outlineLevel="0" collapsed="false">
      <c r="A2" s="2" t="s">
        <v>344</v>
      </c>
      <c r="B2" s="2"/>
      <c r="C2" s="2"/>
      <c r="D2" s="2"/>
      <c r="E2" s="2"/>
      <c r="F2" s="2"/>
      <c r="G2" s="2"/>
    </row>
    <row r="4" customFormat="false" ht="12.8" hidden="false" customHeight="false" outlineLevel="0" collapsed="false">
      <c r="A4" s="45" t="s">
        <v>33</v>
      </c>
      <c r="B4" s="45" t="s">
        <v>345</v>
      </c>
      <c r="C4" s="45" t="s">
        <v>35</v>
      </c>
      <c r="D4" s="45" t="s">
        <v>36</v>
      </c>
      <c r="E4" s="45" t="s">
        <v>37</v>
      </c>
      <c r="F4" s="45" t="s">
        <v>38</v>
      </c>
    </row>
    <row r="5" customFormat="false" ht="12.8" hidden="false" customHeight="false" outlineLevel="0" collapsed="false">
      <c r="A5" s="71" t="str">
        <f aca="false">Inputs!$B$6</f>
        <v>TMAR nominal anual</v>
      </c>
      <c r="B5" s="72" t="n">
        <f aca="false">Inputs!$C$6</f>
        <v>0.2046</v>
      </c>
      <c r="C5" s="71" t="str">
        <f aca="false">Inputs!$D$6</f>
        <v>% anual nominal</v>
      </c>
      <c r="D5" s="71" t="str">
        <f aca="false">Inputs!$E$6</f>
        <v>ESTIMADO</v>
      </c>
      <c r="E5" s="71" t="str">
        <f aca="false">Inputs!$F$6</f>
        <v>https://www.cmfchile.cl/portal/estadisticas/626/w4-article-111825.html</v>
      </c>
      <c r="F5" s="71" t="str">
        <f aca="false">Inputs!$G$6</f>
        <v>PISO OBSERVADO, no el costo de oportunidad del titular. CMF, Certificado 07/2026 (promedios de junio 2026, vigente desde el 14-07-2026): interés corriente de 20,46% anual para operaciones no reajustables en moneda nacional de 90 días o más entre 200 y 5.000 UF. La inversión inicial de $43.516.722 equivale a 1.065 UF, dentro de ese tramo. El capital propio es subordinado a esa deuda, luego la TMAR correcta es MAYOR. Reemplaza el stub de 15% de la etapa 10, que quedaba por DEBAJO del costo observado de deuda del mismo tamaño. Spread sobre la TPM (4,5%, Banco Central, https://www.bcentral.cl/areas/politica-monetaria): 15,96 puntos. NO se descompone riesgo por riesgo: no existe fuente pública que lo permita para una microempresa de alimentos en Temuco y repartir los puntos con decimales sería inventar. Límite: el interés corriente es un promedio de operaciones heterogéneas, expresado en forma lineal anual base 360 días, no una cotización para esta empresa. La decisión no es sensible a la tasa: el VAN se anula recién en 35,69% (la TIR); VAN@15% $44.017.948, VAN@20,46% $28.308.713. Gestión que lo cerraría: que el titular declare por escrito el retorno de su alternativa real de inversión.</v>
      </c>
    </row>
    <row r="6" customFormat="false" ht="12.8" hidden="false" customHeight="false" outlineLevel="0" collapsed="false">
      <c r="A6" s="73" t="str">
        <f aca="false">Inputs!$B$7</f>
        <v>Inflación anual</v>
      </c>
      <c r="B6" s="74" t="n">
        <f aca="false">Inputs!$C$7</f>
        <v>0.03</v>
      </c>
      <c r="C6" s="73" t="str">
        <f aca="false">Inputs!$D$7</f>
        <v>% anual desde año 2</v>
      </c>
      <c r="D6" s="73" t="str">
        <f aca="false">Inputs!$E$7</f>
        <v>ESTIMADO</v>
      </c>
      <c r="E6" s="73" t="str">
        <f aca="false">Inputs!$F$7</f>
        <v>https://www.bcentral.cl/documents/33528/8413153/IPoM%2Bjunio%2B2026.pdf/93388589-0929-4ad6-b166-10981ca34946</v>
      </c>
      <c r="F6" s="73" t="str">
        <f aca="false">Inputs!$G$7</f>
        <v>IPoM junio 2026 ubica expectativas a uno y dos años en torno a 3%. Se escala precio y costos simétricamente.</v>
      </c>
    </row>
    <row r="7" customFormat="false" ht="12.8" hidden="false" customHeight="false" outlineLevel="0" collapsed="false">
      <c r="A7" s="71" t="str">
        <f aca="false">Inputs!$B$8</f>
        <v>Capital máximo disponible</v>
      </c>
      <c r="B7" s="75" t="n">
        <f aca="false">Inputs!$C$8</f>
        <v>50000000</v>
      </c>
      <c r="C7" s="71" t="str">
        <f aca="false">Inputs!$D$8</f>
        <v>CLP</v>
      </c>
      <c r="D7" s="71" t="str">
        <f aca="false">Inputs!$E$8</f>
        <v>VERIFICADO</v>
      </c>
      <c r="E7" s="71" t="str">
        <f aca="false">Inputs!$F$8</f>
        <v>datos/supuestos.json#meta.restriccion_capital_clp</v>
      </c>
      <c r="F7" s="71" t="str">
        <f aca="false">Inputs!$G$8</f>
        <v>Restricción declarada en el enunciado.</v>
      </c>
    </row>
    <row r="8" customFormat="false" ht="12.8" hidden="false" customHeight="false" outlineLevel="0" collapsed="false">
      <c r="A8" s="73" t="str">
        <f aca="false">Inputs!$B$9</f>
        <v>Horizonte de evaluación</v>
      </c>
      <c r="B8" s="76" t="n">
        <f aca="false">Inputs!$C$9</f>
        <v>5</v>
      </c>
      <c r="C8" s="73" t="str">
        <f aca="false">Inputs!$D$9</f>
        <v>años</v>
      </c>
      <c r="D8" s="73" t="str">
        <f aca="false">Inputs!$E$9</f>
        <v>SUPUESTO</v>
      </c>
      <c r="E8" s="73" t="str">
        <f aca="false">Inputs!$F$9</f>
        <v>datos/supuestos.json#meta.horizonte_evaluacion_anios</v>
      </c>
      <c r="F8" s="73" t="str">
        <f aca="false">Inputs!$G$9</f>
        <v>Horizonte fijado en el statement.</v>
      </c>
    </row>
    <row r="9" customFormat="false" ht="12.8" hidden="false" customHeight="false" outlineLevel="0" collapsed="false">
      <c r="A9" s="71" t="str">
        <f aca="false">Inputs!$B$10</f>
        <v>Precio B2B neto base</v>
      </c>
      <c r="B9" s="75" t="n">
        <f aca="false">Inputs!$C$10</f>
        <v>4200</v>
      </c>
      <c r="C9" s="71" t="str">
        <f aca="false">Inputs!$D$10</f>
        <v>CLP neto/unidad en pesos base 2026</v>
      </c>
      <c r="D9" s="71" t="str">
        <f aca="false">Inputs!$E$10</f>
        <v>SUPUESTO</v>
      </c>
      <c r="E9" s="71" t="str">
        <f aca="false">Inputs!$F$10</f>
        <v>02-competencia/index.html</v>
      </c>
      <c r="F9" s="71" t="str">
        <f aca="false">Inputs!$G$10</f>
        <v>Se usa solo porque el parámetro de etapa 02 está pendiente. Está entre PF retail neto ($3.017) y foodservice publicado ($5.034); no representa disposición a pagar validada.</v>
      </c>
    </row>
    <row r="10" customFormat="false" ht="12.8" hidden="false" customHeight="false" outlineLevel="0" collapsed="false">
      <c r="A10" s="73" t="str">
        <f aca="false">Inputs!$B$11</f>
        <v>SOM año 1 (0 = usar referencia)</v>
      </c>
      <c r="B10" s="76" t="n">
        <f aca="false">Inputs!$C$11</f>
        <v>0</v>
      </c>
      <c r="C10" s="73" t="str">
        <f aca="false">Inputs!$D$11</f>
        <v>pizzas/mes</v>
      </c>
      <c r="D10" s="73" t="str">
        <f aca="false">Inputs!$E$11</f>
        <v>PENDIENTE</v>
      </c>
      <c r="E10" s="73" t="str">
        <f aca="false">Inputs!$F$11</f>
        <v>datos/supuestos.json#mercado.som_ano1_pizzas_mes</v>
      </c>
      <c r="F10" s="73" t="str">
        <f aca="false">Inputs!$G$11</f>
        <v>0 = usar el volumen año 1 de referencia. La etapa 03 lo cierra en terreno.</v>
      </c>
    </row>
    <row r="11" customFormat="false" ht="12.8" hidden="false" customHeight="false" outlineLevel="0" collapsed="false">
      <c r="A11" s="71" t="str">
        <f aca="false">Inputs!$B$12</f>
        <v>Volumen año 1 (referencia)</v>
      </c>
      <c r="B11" s="77" t="n">
        <f aca="false">Inputs!$C$12</f>
        <v>30000</v>
      </c>
      <c r="C11" s="71" t="str">
        <f aca="false">Inputs!$D$12</f>
        <v>pizzas/año</v>
      </c>
      <c r="D11" s="71" t="str">
        <f aca="false">Inputs!$E$12</f>
        <v>SUPUESTO</v>
      </c>
      <c r="E11" s="71" t="str">
        <f aca="false">Inputs!$F$12</f>
        <v>01-mercado/index.html</v>
      </c>
      <c r="F11" s="71" t="str">
        <f aca="false">Inputs!$G$12</f>
        <v>2.500 unidades/mes. Sustituir por mercado.som_ano1_pizzas_mes × 12 cuando etapa 03 lo valide.</v>
      </c>
    </row>
    <row r="12" customFormat="false" ht="12.8" hidden="false" customHeight="false" outlineLevel="0" collapsed="false">
      <c r="A12" s="73" t="str">
        <f aca="false">Inputs!$B$13</f>
        <v>Volumen año 2 (referencia)</v>
      </c>
      <c r="B12" s="76" t="n">
        <f aca="false">Inputs!$C$13</f>
        <v>42000</v>
      </c>
      <c r="C12" s="73" t="str">
        <f aca="false">Inputs!$D$13</f>
        <v>pizzas/año</v>
      </c>
      <c r="D12" s="73" t="str">
        <f aca="false">Inputs!$E$13</f>
        <v>SUPUESTO</v>
      </c>
      <c r="E12" s="73" t="str">
        <f aca="false">Inputs!$F$13</f>
        <v>Etapa 10</v>
      </c>
      <c r="F12" s="73" t="str">
        <f aca="false">Inputs!$G$13</f>
        <v>Rampa comercial no validada.</v>
      </c>
    </row>
    <row r="13" customFormat="false" ht="12.8" hidden="false" customHeight="false" outlineLevel="0" collapsed="false">
      <c r="A13" s="71" t="str">
        <f aca="false">Inputs!$B$14</f>
        <v>Volumen año 3 (referencia)</v>
      </c>
      <c r="B13" s="77" t="n">
        <f aca="false">Inputs!$C$14</f>
        <v>54000</v>
      </c>
      <c r="C13" s="71" t="str">
        <f aca="false">Inputs!$D$14</f>
        <v>pizzas/año</v>
      </c>
      <c r="D13" s="71" t="str">
        <f aca="false">Inputs!$E$14</f>
        <v>SUPUESTO</v>
      </c>
      <c r="E13" s="71" t="str">
        <f aca="false">Inputs!$F$14</f>
        <v>Etapa 10</v>
      </c>
      <c r="F13" s="71" t="str">
        <f aca="false">Inputs!$G$14</f>
        <v>Rampa comercial no validada.</v>
      </c>
    </row>
    <row r="14" customFormat="false" ht="12.8" hidden="false" customHeight="false" outlineLevel="0" collapsed="false">
      <c r="A14" s="73" t="str">
        <f aca="false">Inputs!$B$15</f>
        <v>Volumen año 4 (referencia)</v>
      </c>
      <c r="B14" s="76" t="n">
        <f aca="false">Inputs!$C$15</f>
        <v>66000</v>
      </c>
      <c r="C14" s="73" t="str">
        <f aca="false">Inputs!$D$15</f>
        <v>pizzas/año</v>
      </c>
      <c r="D14" s="73" t="str">
        <f aca="false">Inputs!$E$15</f>
        <v>SUPUESTO</v>
      </c>
      <c r="E14" s="73" t="str">
        <f aca="false">Inputs!$F$15</f>
        <v>Etapa 10</v>
      </c>
      <c r="F14" s="73" t="str">
        <f aca="false">Inputs!$G$15</f>
        <v>Rampa comercial no validada.</v>
      </c>
    </row>
    <row r="15" customFormat="false" ht="12.8" hidden="false" customHeight="false" outlineLevel="0" collapsed="false">
      <c r="A15" s="71" t="str">
        <f aca="false">Inputs!$B$16</f>
        <v>Volumen año 5 (referencia)</v>
      </c>
      <c r="B15" s="77" t="n">
        <f aca="false">Inputs!$C$16</f>
        <v>72000</v>
      </c>
      <c r="C15" s="71" t="str">
        <f aca="false">Inputs!$D$16</f>
        <v>pizzas/año</v>
      </c>
      <c r="D15" s="71" t="str">
        <f aca="false">Inputs!$E$16</f>
        <v>SUPUESTO</v>
      </c>
      <c r="E15" s="71" t="str">
        <f aca="false">Inputs!$F$16</f>
        <v>Etapa 10</v>
      </c>
      <c r="F15" s="71" t="str">
        <f aca="false">Inputs!$G$16</f>
        <v>Rampa comercial no validada.</v>
      </c>
    </row>
    <row r="16" customFormat="false" ht="12.8" hidden="false" customHeight="false" outlineLevel="0" collapsed="false">
      <c r="A16" s="73" t="str">
        <f aca="false">Inputs!$B$17</f>
        <v>Rampa año 2 (0 = derivar)</v>
      </c>
      <c r="B16" s="76" t="n">
        <f aca="false">Inputs!$C$17</f>
        <v>0</v>
      </c>
      <c r="C16" s="73" t="str">
        <f aca="false">Inputs!$D$17</f>
        <v>multiplicador sobre año 1</v>
      </c>
      <c r="D16" s="73" t="str">
        <f aca="false">Inputs!$E$17</f>
        <v>PENDIENTE</v>
      </c>
      <c r="E16" s="73" t="str">
        <f aca="false">Inputs!$F$17</f>
        <v>datos/supuestos.json#comercial.rampa_ano2_factor</v>
      </c>
      <c r="F16" s="73" t="str">
        <f aca="false">Inputs!$G$17</f>
        <v>0 = derivar la forma de los volúmenes de referencia. La etapa 11 no publicó factor y no se inventa uno.</v>
      </c>
    </row>
    <row r="17" customFormat="false" ht="12.8" hidden="false" customHeight="false" outlineLevel="0" collapsed="false">
      <c r="A17" s="71" t="str">
        <f aca="false">Inputs!$B$18</f>
        <v>Rampa año 3 (0 = derivar)</v>
      </c>
      <c r="B17" s="77" t="n">
        <f aca="false">Inputs!$C$18</f>
        <v>0</v>
      </c>
      <c r="C17" s="71" t="str">
        <f aca="false">Inputs!$D$18</f>
        <v>multiplicador sobre año 1</v>
      </c>
      <c r="D17" s="71" t="str">
        <f aca="false">Inputs!$E$18</f>
        <v>PENDIENTE</v>
      </c>
      <c r="E17" s="71" t="str">
        <f aca="false">Inputs!$F$18</f>
        <v>datos/supuestos.json#comercial.rampa_ano3_factor</v>
      </c>
      <c r="F17" s="71" t="str">
        <f aca="false">Inputs!$G$18</f>
        <v>0 = derivar la forma de los volúmenes de referencia. La etapa 11 no publicó factor y no se inventa uno.</v>
      </c>
    </row>
    <row r="18" customFormat="false" ht="12.8" hidden="false" customHeight="false" outlineLevel="0" collapsed="false">
      <c r="A18" s="73" t="str">
        <f aca="false">Inputs!$B$19</f>
        <v>Rampa año 4 (0 = derivar)</v>
      </c>
      <c r="B18" s="76" t="n">
        <f aca="false">Inputs!$C$19</f>
        <v>0</v>
      </c>
      <c r="C18" s="73" t="str">
        <f aca="false">Inputs!$D$19</f>
        <v>multiplicador sobre año 1</v>
      </c>
      <c r="D18" s="73" t="str">
        <f aca="false">Inputs!$E$19</f>
        <v>PENDIENTE</v>
      </c>
      <c r="E18" s="73" t="str">
        <f aca="false">Inputs!$F$19</f>
        <v>datos/supuestos.json#comercial.rampa_ano4_factor</v>
      </c>
      <c r="F18" s="73" t="str">
        <f aca="false">Inputs!$G$19</f>
        <v>0 = derivar la forma de los volúmenes de referencia. La etapa 11 no publicó factor y no se inventa uno.</v>
      </c>
    </row>
    <row r="19" customFormat="false" ht="12.8" hidden="false" customHeight="false" outlineLevel="0" collapsed="false">
      <c r="A19" s="71" t="str">
        <f aca="false">Inputs!$B$20</f>
        <v>Rampa año 5 (0 = derivar)</v>
      </c>
      <c r="B19" s="77" t="n">
        <f aca="false">Inputs!$C$20</f>
        <v>0</v>
      </c>
      <c r="C19" s="71" t="str">
        <f aca="false">Inputs!$D$20</f>
        <v>multiplicador sobre año 1</v>
      </c>
      <c r="D19" s="71" t="str">
        <f aca="false">Inputs!$E$20</f>
        <v>PENDIENTE</v>
      </c>
      <c r="E19" s="71" t="str">
        <f aca="false">Inputs!$F$20</f>
        <v>datos/supuestos.json#comercial.rampa_ano5_factor</v>
      </c>
      <c r="F19" s="71" t="str">
        <f aca="false">Inputs!$G$20</f>
        <v>0 = derivar la forma de los volúmenes de referencia. La etapa 11 no publicó factor y no se inventa uno.</v>
      </c>
    </row>
    <row r="20" customFormat="false" ht="12.8" hidden="false" customHeight="false" outlineLevel="0" collapsed="false">
      <c r="A20" s="73" t="str">
        <f aca="false">Inputs!$B$21</f>
        <v>Impuesto año 1</v>
      </c>
      <c r="B20" s="74" t="n">
        <f aca="false">Inputs!$C$21</f>
        <v>0.125</v>
      </c>
      <c r="C20" s="73" t="str">
        <f aca="false">Inputs!$D$21</f>
        <v>% IDPC Pro Pyme año comercial 2027</v>
      </c>
      <c r="D20" s="73" t="str">
        <f aca="false">Inputs!$E$21</f>
        <v>VERIFICADO</v>
      </c>
      <c r="E20" s="73" t="str">
        <f aca="false">Inputs!$F$21</f>
        <v>https://www.sii.cl/normativa_legislacion/circulares/2025/circu53.pdf</v>
      </c>
      <c r="F20" s="73" t="str">
        <f aca="false">Inputs!$G$21</f>
        <v>Aplica si la empresa califica al régimen Pro Pyme General del art. 14 D N°3.</v>
      </c>
    </row>
    <row r="21" customFormat="false" ht="12.8" hidden="false" customHeight="false" outlineLevel="0" collapsed="false">
      <c r="A21" s="71" t="str">
        <f aca="false">Inputs!$B$22</f>
        <v>Impuesto año 2</v>
      </c>
      <c r="B21" s="72" t="n">
        <f aca="false">Inputs!$C$22</f>
        <v>0.125</v>
      </c>
      <c r="C21" s="71" t="str">
        <f aca="false">Inputs!$D$22</f>
        <v>% IDPC Pro Pyme año comercial 2028</v>
      </c>
      <c r="D21" s="71" t="str">
        <f aca="false">Inputs!$E$22</f>
        <v>VERIFICADO</v>
      </c>
      <c r="E21" s="71" t="str">
        <f aca="false">Inputs!$F$22</f>
        <v>https://www.sii.cl/preguntas_frecuentes/declaracion_renta/001_140_4708.htm</v>
      </c>
      <c r="F21" s="71" t="str">
        <f aca="false">Inputs!$G$22</f>
        <v>Año comercial 2027. La tabla de tasas IDPC del SII muestra 12,5% para los años comerciales 2025, 2026 y 2027 bajo el art. 14 D N°3 (rebaja de la Ley 21.755, art. vigésimo quinto). Corrige el 15% anterior, que adelantaba un año la escala.</v>
      </c>
    </row>
    <row r="22" customFormat="false" ht="12.8" hidden="false" customHeight="false" outlineLevel="0" collapsed="false">
      <c r="A22" s="73" t="str">
        <f aca="false">Inputs!$B$23</f>
        <v>Impuesto año 3</v>
      </c>
      <c r="B22" s="74" t="n">
        <f aca="false">Inputs!$C$23</f>
        <v>0.15</v>
      </c>
      <c r="C22" s="73" t="str">
        <f aca="false">Inputs!$D$23</f>
        <v>% IDPC permanente</v>
      </c>
      <c r="D22" s="73" t="str">
        <f aca="false">Inputs!$E$23</f>
        <v>ESTIMADO</v>
      </c>
      <c r="E22" s="73" t="str">
        <f aca="false">Inputs!$F$23</f>
        <v>https://www.sii.cl/preguntas_frecuentes/declaracion_renta/001_140_4708.htm</v>
      </c>
      <c r="F22" s="73" t="str">
        <f aca="false">Inputs!$G$23</f>
        <v>Año comercial 2028. Corrige el 25% anterior, que contradecía su propia nota: ésta decía que el 25% rige desde 2029, pero se aplicaba al año 3, que es 2028.</v>
      </c>
    </row>
    <row r="23" customFormat="false" ht="12.8" hidden="false" customHeight="false" outlineLevel="0" collapsed="false">
      <c r="A23" s="71" t="str">
        <f aca="false">Inputs!$B$24</f>
        <v>Impuesto año 4</v>
      </c>
      <c r="B23" s="72" t="n">
        <f aca="false">Inputs!$C$24</f>
        <v>0.25</v>
      </c>
      <c r="C23" s="71" t="str">
        <f aca="false">Inputs!$D$24</f>
        <v>% IDPC permanente</v>
      </c>
      <c r="D23" s="71" t="str">
        <f aca="false">Inputs!$E$24</f>
        <v>ESTIMADO</v>
      </c>
      <c r="E23" s="71" t="str">
        <f aca="false">Inputs!$F$24</f>
        <v>https://www.sii.cl/preguntas_frecuentes/declaracion_renta/001_140_4708.htm</v>
      </c>
      <c r="F23" s="71" t="str">
        <f aca="false">Inputs!$G$24</f>
        <v>Año comercial 2029: tasa permanente del régimen. Supone permanencia normativa.</v>
      </c>
    </row>
    <row r="24" customFormat="false" ht="12.8" hidden="false" customHeight="false" outlineLevel="0" collapsed="false">
      <c r="A24" s="73" t="str">
        <f aca="false">Inputs!$B$25</f>
        <v>Impuesto año 5</v>
      </c>
      <c r="B24" s="74" t="n">
        <f aca="false">Inputs!$C$25</f>
        <v>0.25</v>
      </c>
      <c r="C24" s="73" t="str">
        <f aca="false">Inputs!$D$25</f>
        <v>% IDPC permanente</v>
      </c>
      <c r="D24" s="73" t="str">
        <f aca="false">Inputs!$E$25</f>
        <v>ESTIMADO</v>
      </c>
      <c r="E24" s="73" t="str">
        <f aca="false">Inputs!$F$25</f>
        <v>https://www.sii.cl/preguntas_frecuentes/declaracion_renta/001_140_4708.htm</v>
      </c>
      <c r="F24" s="73" t="str">
        <f aca="false">Inputs!$G$25</f>
        <v>Año comercial 2030: tasa permanente del régimen. Supone permanencia normativa.</v>
      </c>
    </row>
    <row r="25" customFormat="false" ht="12.8" hidden="false" customHeight="false" outlineLevel="0" collapsed="false">
      <c r="A25" s="71" t="str">
        <f aca="false">Inputs!$B$26</f>
        <v>Harina por pizza</v>
      </c>
      <c r="B25" s="78" t="n">
        <f aca="false">Inputs!$C$26</f>
        <v>0.151</v>
      </c>
      <c r="C25" s="71" t="str">
        <f aca="false">Inputs!$D$26</f>
        <v>kg/pizza familiar 30 cm</v>
      </c>
      <c r="D25" s="71" t="str">
        <f aca="false">Inputs!$E$26</f>
        <v>ESTIMADO</v>
      </c>
      <c r="E25" s="71" t="str">
        <f aca="false">Inputs!$F$26</f>
        <v>https://eur-lex.europa.eu/legal-content/ES/TXT/HTML/?uri=CELEX:32010R0097</v>
      </c>
      <c r="F25" s="71" t="str">
        <f aca="false">Inputs!$G$26</f>
        <v>Reglamento (UE) 97/2010, pliego Pizza Napoletana ETG: harina 1.800 g : agua 1 L : sal 50-55 g : levadura 3 g, total 2.855 g, de donde la harina es el 63,0% de la masa. Bollo de 240 g (techo del rango ETG 180-250 g) x 0,630 = 151 g. Se toma el techo porque un disco precocido congelado debe resistir manipulación, apilado en caja de 12 y transporte: densidad 0,34 g/cm² sobre 300 mm, más gruesa que una napoletana. Sustituye el supuesto de 0,2 kg de etapa 10, que era 32% mayor.</v>
      </c>
    </row>
    <row r="26" customFormat="false" ht="12.8" hidden="false" customHeight="false" outlineLevel="0" collapsed="false">
      <c r="A26" s="73" t="str">
        <f aca="false">Inputs!$B$27</f>
        <v>Salsa por pizza</v>
      </c>
      <c r="B26" s="79" t="n">
        <f aca="false">Inputs!$C$27</f>
        <v>0.08</v>
      </c>
      <c r="C26" s="73" t="str">
        <f aca="false">Inputs!$D$27</f>
        <v>kg/pizza familiar 30 cm</v>
      </c>
      <c r="D26" s="73" t="str">
        <f aca="false">Inputs!$E$27</f>
        <v>ESTIMADO</v>
      </c>
      <c r="E26" s="73" t="str">
        <f aca="false">Inputs!$F$27</f>
        <v>https://eur-lex.europa.eu/legal-content/ES/TXT/HTML/?uri=CELEX:32010R0097</v>
      </c>
      <c r="F26" s="73" t="str">
        <f aca="false">Inputs!$G$27</f>
        <v>Pliego ETG para la Margherita: 'entre 60 y 80 g de tomates pelados triturados'. Se toma el techo. CUADRA CON EL PRECIO DE 06: la salsa es tomate pelado triturado en crudo con sal y aceite, sin reducción, así que 1 kg de insumo ≈ 1 kg de salsa y el gramaje se valoriza directamente con datos/parametros-06-insumos.json#insumos.salsa_tomate_clp_kg. Si se decide cocer y reducir la salsa, este número sube por pérdida de agua.</v>
      </c>
    </row>
    <row r="27" customFormat="false" ht="12.8" hidden="false" customHeight="false" outlineLevel="0" collapsed="false">
      <c r="A27" s="71" t="str">
        <f aca="false">Inputs!$B$28</f>
        <v>Mozzarella por pizza</v>
      </c>
      <c r="B27" s="78" t="n">
        <f aca="false">Inputs!$C$28</f>
        <v>0.1</v>
      </c>
      <c r="C27" s="71" t="str">
        <f aca="false">Inputs!$D$28</f>
        <v>kg/pizza familiar 30 cm</v>
      </c>
      <c r="D27" s="71" t="str">
        <f aca="false">Inputs!$E$28</f>
        <v>ESTIMADO</v>
      </c>
      <c r="E27" s="71" t="str">
        <f aca="false">Inputs!$F$28</f>
        <v>https://eur-lex.europa.eu/legal-content/ES/TXT/HTML/?uri=CELEX:32010R0097</v>
      </c>
      <c r="F27" s="71" t="str">
        <f aca="false">Inputs!$G$28</f>
        <v>LÍNEA MÁS SENSIBLE DEL MODELO. Dos anclas independientes convergen: (a) pliego ETG Margherita, 'entre 80 y 100 g' de mozzarella; (b) ficha técnica comercial de minipizza congelada que declara mozzarella 20,5% en masa, que sobre 426 g da 89 g. Se toma 100 g, techo del rango ETG, porque sobre 300 mm da mayor densidad superficial que 100 g sobre los 350 mm que el ETG permite, y porque la carga de queso visible es el atributo que el canal compra. Sustituye el supuesto de 0,12 kg de etapa 10: a $8.403,36/kg el costo de queso baja de $1.008 a $840 por unidad. NINGUNA de las dos anclas es chilena ni foodservice, y el rendimiento al fundir no está probado: cerrar con panel de degustación en etapa 03 y con el piloto.</v>
      </c>
    </row>
    <row r="28" customFormat="false" ht="12.8" hidden="false" customHeight="false" outlineLevel="0" collapsed="false">
      <c r="A28" s="73" t="str">
        <f aca="false">Inputs!$B$29</f>
        <v>Otros ingredientes por pizza</v>
      </c>
      <c r="B28" s="80" t="n">
        <f aca="false">Inputs!$C$29</f>
        <v>550</v>
      </c>
      <c r="C28" s="73" t="str">
        <f aca="false">Inputs!$D$29</f>
        <v>CLP neto/pizza</v>
      </c>
      <c r="D28" s="73" t="str">
        <f aca="false">Inputs!$E$29</f>
        <v>SUPUESTO</v>
      </c>
      <c r="E28" s="73" t="str">
        <f aca="false">Inputs!$F$29</f>
        <v>Etapa 10</v>
      </c>
      <c r="F28" s="73" t="str">
        <f aca="false">Inputs!$G$29</f>
        <v>Aceite, levadura, sal, especias y topping; pendiente de receta y cotización.</v>
      </c>
    </row>
    <row r="29" customFormat="false" ht="12.8" hidden="false" customHeight="false" outlineLevel="0" collapsed="false">
      <c r="A29" s="71" t="str">
        <f aca="false">Inputs!$B$30</f>
        <v>Envase por pizza</v>
      </c>
      <c r="B29" s="75" t="n">
        <f aca="false">Inputs!$C$30</f>
        <v>300</v>
      </c>
      <c r="C29" s="71" t="str">
        <f aca="false">Inputs!$D$30</f>
        <v>CLP neto/pizza</v>
      </c>
      <c r="D29" s="71" t="str">
        <f aca="false">Inputs!$E$30</f>
        <v>SUPUESTO</v>
      </c>
      <c r="E29" s="71" t="str">
        <f aca="false">Inputs!$F$30</f>
        <v>06-insumos/index.html</v>
      </c>
      <c r="F29" s="71" t="str">
        <f aca="false">Inputs!$G$30</f>
        <v>Fallback hasta que etapa 06 cierre film, etiqueta y caja máster.</v>
      </c>
    </row>
    <row r="30" customFormat="false" ht="12.8" hidden="false" customHeight="false" outlineLevel="0" collapsed="false">
      <c r="A30" s="73" t="str">
        <f aca="false">Inputs!$B$31</f>
        <v>Energía variable por pizza</v>
      </c>
      <c r="B30" s="80" t="n">
        <f aca="false">Inputs!$C$31</f>
        <v>120</v>
      </c>
      <c r="C30" s="73" t="str">
        <f aca="false">Inputs!$D$31</f>
        <v>CLP/pizza</v>
      </c>
      <c r="D30" s="73" t="str">
        <f aca="false">Inputs!$E$31</f>
        <v>SUPUESTO</v>
      </c>
      <c r="E30" s="73" t="str">
        <f aca="false">Inputs!$F$31</f>
        <v>https://calvac.cl/venta/abatidor-10-bandejas-2/</v>
      </c>
      <c r="F30" s="73" t="str">
        <f aca="false">Inputs!$G$31</f>
        <v>Bolsa de costo para horno, abatimiento y congelación. Debe reemplazarse por balance kWh/ciclo y tarifa contratada.</v>
      </c>
    </row>
    <row r="31" customFormat="false" ht="12.8" hidden="false" customHeight="false" outlineLevel="0" collapsed="false">
      <c r="A31" s="71" t="str">
        <f aca="false">Inputs!$B$32</f>
        <v>Distribución variable por pizza</v>
      </c>
      <c r="B31" s="75" t="n">
        <f aca="false">Inputs!$C$32</f>
        <v>220</v>
      </c>
      <c r="C31" s="71" t="str">
        <f aca="false">Inputs!$D$32</f>
        <v>CLP/pizza</v>
      </c>
      <c r="D31" s="71" t="str">
        <f aca="false">Inputs!$E$32</f>
        <v>SUPUESTO</v>
      </c>
      <c r="E31" s="71" t="str">
        <f aca="false">Inputs!$F$32</f>
        <v>Etapa 10</v>
      </c>
      <c r="F31" s="71" t="str">
        <f aca="false">Inputs!$G$32</f>
        <v>Despacho consolidado local sin vehículo propio; cotizar por ruta.</v>
      </c>
    </row>
    <row r="32" customFormat="false" ht="12.8" hidden="false" customHeight="false" outlineLevel="0" collapsed="false">
      <c r="A32" s="73" t="str">
        <f aca="false">Inputs!$B$33</f>
        <v>Merma de ingredientes</v>
      </c>
      <c r="B32" s="74" t="n">
        <f aca="false">Inputs!$C$33</f>
        <v>0.05</v>
      </c>
      <c r="C32" s="73" t="str">
        <f aca="false">Inputs!$D$33</f>
        <v>%</v>
      </c>
      <c r="D32" s="73" t="str">
        <f aca="false">Inputs!$E$33</f>
        <v>SUPUESTO</v>
      </c>
      <c r="E32" s="73" t="str">
        <f aca="false">Inputs!$F$33</f>
        <v>datos/parametros-10-financiero.json#producto.merma_pct</v>
      </c>
      <c r="F32" s="73" t="str">
        <f aca="false">Inputs!$G$33</f>
        <v>PUNTOS PORCENTUALES: 5 = 5%. modelo.js lo divide por 100. NO EXISTE fuente pública chilena de merma de proceso para esta línea; se mantiene el marcador heredado de etapa 10 en vez de inventar precisión. Componentes esperados: recorte de masa al formar, residuo de dosificado de salsa y queso, y producto no conforme de arranque (el dominante). Solo lo cierra un piloto de 3 lotes con pesaje de entrada y salida.</v>
      </c>
    </row>
    <row r="33" customFormat="false" ht="12.8" hidden="false" customHeight="false" outlineLevel="0" collapsed="false">
      <c r="A33" s="71" t="str">
        <f aca="false">Inputs!$B$34</f>
        <v>Precio harina/kg</v>
      </c>
      <c r="B33" s="75" t="n">
        <f aca="false">Inputs!$C$34</f>
        <v>840</v>
      </c>
      <c r="C33" s="71" t="str">
        <f aca="false">Inputs!$D$34</f>
        <v>CLP neto/kg</v>
      </c>
      <c r="D33" s="71" t="str">
        <f aca="false">Inputs!$E$34</f>
        <v>VERIFICADO</v>
      </c>
      <c r="E33" s="71" t="str">
        <f aca="false">Inputs!$F$34</f>
        <v>https://metafood.cl/REV10100_Harina_Pizza</v>
      </c>
      <c r="F33" s="71" t="str">
        <f aca="false">Inputs!$G$34</f>
        <v>Saco de harina para pizza 25 kg publicado a $21.000 + IVA. Falta confirmar flete y disponibilidad en Temuco.</v>
      </c>
    </row>
    <row r="34" customFormat="false" ht="12.8" hidden="false" customHeight="false" outlineLevel="0" collapsed="false">
      <c r="A34" s="73" t="str">
        <f aca="false">Inputs!$B$35</f>
        <v>Precio tomate/kg</v>
      </c>
      <c r="B34" s="80" t="n">
        <f aca="false">Inputs!$C$35</f>
        <v>2383.8</v>
      </c>
      <c r="C34" s="73" t="str">
        <f aca="false">Inputs!$D$35</f>
        <v>CLP neto/kg</v>
      </c>
      <c r="D34" s="73" t="str">
        <f aca="false">Inputs!$E$35</f>
        <v>VERIFICADO</v>
      </c>
      <c r="E34" s="73" t="str">
        <f aca="false">Inputs!$F$35</f>
        <v>https://metafood.cl/REV10130_Tomate_Pelado_Lata_Bolsa</v>
      </c>
      <c r="F34" s="73" t="str">
        <f aca="false">Inputs!$G$35</f>
        <v>Tomate pelado bolsa 5 kg a $11.919 + IVA. Es insumo para formular salsa, no salsa terminada; falta flete a Temuco.</v>
      </c>
    </row>
    <row r="35" customFormat="false" ht="12.8" hidden="false" customHeight="false" outlineLevel="0" collapsed="false">
      <c r="A35" s="71" t="str">
        <f aca="false">Inputs!$B$36</f>
        <v>Precio mozzarella/kg</v>
      </c>
      <c r="B35" s="75" t="n">
        <f aca="false">Inputs!$C$36</f>
        <v>8403.36</v>
      </c>
      <c r="C35" s="71" t="str">
        <f aca="false">Inputs!$D$36</f>
        <v>CLP neto/kg</v>
      </c>
      <c r="D35" s="71" t="str">
        <f aca="false">Inputs!$E$36</f>
        <v>ESTIMADO</v>
      </c>
      <c r="E35" s="71" t="str">
        <f aca="false">Inputs!$F$36</f>
        <v>https://www.mercadolibre.cl/queso-mozzarella-barra-35-kg-aprox-molfino-argentino/up/MLCU67695246</v>
      </c>
      <c r="F35" s="71" t="str">
        <f aca="false">Inputs!$G$36</f>
        <v>Publicación de vendedor de Temuco a $10.000/kg IVA incluido, con factura y reparto refrigerado; normalizado /1,19. No es cotización por volumen ni demuestra suministro estable.</v>
      </c>
    </row>
    <row r="36" customFormat="false" ht="12.8" hidden="false" customHeight="false" outlineLevel="0" collapsed="false">
      <c r="A36" s="73" t="str">
        <f aca="false">Inputs!$B$37</f>
        <v>Superficie</v>
      </c>
      <c r="B36" s="76" t="n">
        <f aca="false">Inputs!$C$37</f>
        <v>120</v>
      </c>
      <c r="C36" s="73" t="str">
        <f aca="false">Inputs!$D$37</f>
        <v>m²</v>
      </c>
      <c r="D36" s="73" t="str">
        <f aca="false">Inputs!$E$37</f>
        <v>SUPUESTO</v>
      </c>
      <c r="E36" s="73" t="str">
        <f aca="false">Inputs!$F$37</f>
        <v>07-local-habilitacion/index.html</v>
      </c>
      <c r="F36" s="73" t="str">
        <f aca="false">Inputs!$G$37</f>
        <v>Fallback hasta layout de etapa 04.</v>
      </c>
    </row>
    <row r="37" customFormat="false" ht="12.8" hidden="false" customHeight="false" outlineLevel="0" collapsed="false">
      <c r="A37" s="71" t="str">
        <f aca="false">Inputs!$B$38</f>
        <v>Arriendo por m²/mes</v>
      </c>
      <c r="B37" s="75" t="n">
        <f aca="false">Inputs!$C$38</f>
        <v>6331</v>
      </c>
      <c r="C37" s="71" t="str">
        <f aca="false">Inputs!$D$38</f>
        <v>CLP/m²/mes</v>
      </c>
      <c r="D37" s="71" t="str">
        <f aca="false">Inputs!$E$38</f>
        <v>ESTIMADO</v>
      </c>
      <c r="E37" s="71" t="str">
        <f aca="false">Inputs!$F$38</f>
        <v>https://chilepropiedades.cl/ver-publicacion/arriendo-mensual/temuco/bodega/bodega-nueva-de-1-500-m2-acceso-norte-de-tco-162267/117714745 ; https://propiedades.bmi.cl/6057</v>
      </c>
      <c r="F37" s="71" t="str">
        <f aca="false">Inputs!$G$38</f>
        <v>Punto medio entre avisos industriales de 0,15 y 0,16 UF/m²/mes, convertido con UF base $40.844,79. Son bodegas mayores; no prueba precio de un local alimentario pequeño.</v>
      </c>
    </row>
    <row r="38" customFormat="false" ht="12.8" hidden="false" customHeight="false" outlineLevel="0" collapsed="false">
      <c r="A38" s="73" t="str">
        <f aca="false">Inputs!$B$39</f>
        <v>Arriendo mensual directo (0 = calcular)</v>
      </c>
      <c r="B38" s="80" t="n">
        <f aca="false">Inputs!$C$39</f>
        <v>0</v>
      </c>
      <c r="C38" s="73" t="str">
        <f aca="false">Inputs!$D$39</f>
        <v>CLP/mes</v>
      </c>
      <c r="D38" s="73" t="str">
        <f aca="false">Inputs!$E$39</f>
        <v>PENDIENTE</v>
      </c>
      <c r="E38" s="73" t="n">
        <f aca="false">Inputs!$F$39</f>
        <v>0</v>
      </c>
      <c r="F38" s="73" t="str">
        <f aca="false">Inputs!$G$39</f>
        <v>Depende del metraje, gastos comunes y de encontrar un inmueble compatible con uso de suelo y habilitación sanitaria.</v>
      </c>
    </row>
    <row r="39" customFormat="false" ht="12.8" hidden="false" customHeight="false" outlineLevel="0" collapsed="false">
      <c r="A39" s="71" t="str">
        <f aca="false">Inputs!$B$40</f>
        <v>Nómina bruta mensual</v>
      </c>
      <c r="B39" s="75" t="n">
        <f aca="false">Inputs!$C$40</f>
        <v>1100000</v>
      </c>
      <c r="C39" s="71" t="str">
        <f aca="false">Inputs!$D$40</f>
        <v>CLP/mes, suma de sueldos brutos imponibles de trabajadores dependientes</v>
      </c>
      <c r="D39" s="71" t="str">
        <f aca="false">Inputs!$E$40</f>
        <v>ESTIMADO</v>
      </c>
      <c r="E39" s="71" t="str">
        <f aca="false">Inputs!$F$40</f>
        <v>https://www.ine.gob.cl/estadisticas-por-tema/mercado-laboral/encuesta-suplementaria-de-ingresos ; https://fcje.ufro.cl/noticias/la-araucania-frente-a-la-esi-2025-desafios-para-un-desarrollo-con-mejores-ingresos/ ; datos/supuestos.json#macro.ingreso_minimo_mensual_clp</v>
      </c>
      <c r="F39" s="71" t="str">
        <f aca="false">Inputs!$G$40</f>
        <v>RÉGIMEN, desde el mes 4. Dotación dependiente: 1 operario de producción a jornada completa 42 h ($700.000 bruto) + 1 operario polivalente a jornada parcial 24 h ($400.000 bruto). Cada bruto incluye sueldo base + gratificación art. 50 del Código del Trabajo (25% con tope de 4,75 IMM anuales = $219.115/mes); no volver a sumarla. ESTE VALOR NO INCLUYE EL RETIRO DE LA TITULAR: el modelo debe sumar rrhh.retiro_titular_mensual_clp SIN aplicarle macro.factor_costo_empresa. Si se prefiere una sola línea ya calculada, usar rrhh.costo_personal_mensual_regimen_clp. Los sueldos son ESTIMADOS: no existe serie pública de remuneración por cargo y comuna; se anclaron en el ingreso mínimo legal y en la ESI 2025 convertida de líquido a bruto.</v>
      </c>
    </row>
    <row r="40" customFormat="false" ht="12.8" hidden="false" customHeight="false" outlineLevel="0" collapsed="false">
      <c r="A40" s="73" t="str">
        <f aca="false">Inputs!$B$41</f>
        <v>Factor costo empresa</v>
      </c>
      <c r="B40" s="79" t="n">
        <f aca="false">Inputs!$C$41</f>
        <v>1.0853</v>
      </c>
      <c r="C40" s="73" t="str">
        <f aca="false">Inputs!$D$41</f>
        <v>multiplicador sobre sueldo bruto imponible de trabajador dependiente</v>
      </c>
      <c r="D40" s="73" t="str">
        <f aca="false">Inputs!$E$41</f>
        <v>VERIFICADO</v>
      </c>
      <c r="E40" s="73" t="str">
        <f aca="false">Inputs!$F$41</f>
        <v>https://www.spensiones.cl/portal/institucional/594/w3-propertyvalue-10906.html ; https://www.chileatiende.gob.cl/fichas/130987-aportes-del-empleador-al-sistema-de-pensiones ; https://www.isl.gob.cl/cotizaciones/ ; https://www.isl.gob.cl/wp-content/uploads/2024/08/Clasificador-Actividades-Economicas-2021.pdf ; https://www.previred.com/indicadores-previsionales/</v>
      </c>
      <c r="F40" s="73" t="str">
        <f aca="false">Inputs!$G$41</f>
        <v>MULTIPLICADOR DESNUDO, se usa tal cual (1,0853 = 8,53% sobre el bruto). Suma: 3,50% cotización de cargo del empleador Ley 21.735 vigente 08-2026 a 07-2027 (incluye el SIS, que desde agosto 2026 se financia dentro del Seguro Social Previsional y ya no se cotiza aparte) + 2,40% seguro de cesantía AFC contrato indefinido + 0,93% tasa base Ley 16.744 (0,90% básica + 0,03% SANNA) + 1,70% cotización adicional DS 110 para CIIU 107500 'elaboración de comidas y platos preparados envasados, rotulados y con información nutricional'. CONDICIONES: contrato indefinido (a plazo fijo el AFC sube a 3,00% y el factor a 1,0913); empresa nueva sin evaluación de siniestralidad (DS 67 puede subir o bajar la adicional desde el tercer año); rentas muy por debajo del tope imponible de 90 UF, por lo que todas las tasas aplican íntegras. NO APLICA al retiro de la titular por sueldo empresarial (ver rrhh.retiro_titular_mensual_clp). NO incluye provisiones de feriado ni de indemnización: para eso ver rrhh.factor_costo_empresa_con_provisiones. ADVERTENCIA: el stub 1,22 de la etapa 10 sobrestima el desembolso mensual exigible en ~14 puntos porcentuales.</v>
      </c>
    </row>
    <row r="41" customFormat="false" ht="12.8" hidden="false" customHeight="false" outlineLevel="0" collapsed="false">
      <c r="A41" s="71" t="str">
        <f aca="false">Inputs!$B$42</f>
        <v>Servicios fijos mensuales</v>
      </c>
      <c r="B41" s="75" t="n">
        <f aca="false">Inputs!$C$42</f>
        <v>180000</v>
      </c>
      <c r="C41" s="71" t="str">
        <f aca="false">Inputs!$D$42</f>
        <v>CLP/mes</v>
      </c>
      <c r="D41" s="71" t="str">
        <f aca="false">Inputs!$E$42</f>
        <v>SUPUESTO</v>
      </c>
      <c r="E41" s="71" t="str">
        <f aca="false">Inputs!$F$42</f>
        <v>Etapa 10</v>
      </c>
      <c r="F41" s="71" t="str">
        <f aca="false">Inputs!$G$42</f>
        <v>Cargo fijo de electricidad, agua, gas, internet y residuos, separado del consumo variable.</v>
      </c>
    </row>
    <row r="42" customFormat="false" ht="12.8" hidden="false" customHeight="false" outlineLevel="0" collapsed="false">
      <c r="A42" s="73" t="str">
        <f aca="false">Inputs!$B$43</f>
        <v>Mantenimiento mensual</v>
      </c>
      <c r="B42" s="80" t="n">
        <f aca="false">Inputs!$C$43</f>
        <v>100000</v>
      </c>
      <c r="C42" s="73" t="str">
        <f aca="false">Inputs!$D$43</f>
        <v>CLP/mes</v>
      </c>
      <c r="D42" s="73" t="str">
        <f aca="false">Inputs!$E$43</f>
        <v>SUPUESTO</v>
      </c>
      <c r="E42" s="73" t="str">
        <f aca="false">Inputs!$F$43</f>
        <v>Etapa 10</v>
      </c>
      <c r="F42" s="73" t="str">
        <f aca="false">Inputs!$G$43</f>
        <v>Reserva preventiva; validar con equipos elegidos.</v>
      </c>
    </row>
    <row r="43" customFormat="false" ht="12.8" hidden="false" customHeight="false" outlineLevel="0" collapsed="false">
      <c r="A43" s="71" t="str">
        <f aca="false">Inputs!$B$44</f>
        <v>Administración mensual</v>
      </c>
      <c r="B43" s="75" t="n">
        <f aca="false">Inputs!$C$44</f>
        <v>160000</v>
      </c>
      <c r="C43" s="71" t="str">
        <f aca="false">Inputs!$D$44</f>
        <v>CLP/mes</v>
      </c>
      <c r="D43" s="71" t="str">
        <f aca="false">Inputs!$E$44</f>
        <v>SUPUESTO</v>
      </c>
      <c r="E43" s="71" t="str">
        <f aca="false">Inputs!$F$44</f>
        <v>Etapa 10</v>
      </c>
      <c r="F43" s="71" t="str">
        <f aca="false">Inputs!$G$44</f>
        <v>Contabilidad, software básico, telefonía y gastos bancarios.</v>
      </c>
    </row>
    <row r="44" customFormat="false" ht="12.8" hidden="false" customHeight="false" outlineLevel="0" collapsed="false">
      <c r="A44" s="73" t="str">
        <f aca="false">Inputs!$B$45</f>
        <v>Ventas mensuales</v>
      </c>
      <c r="B44" s="80" t="n">
        <f aca="false">Inputs!$C$45</f>
        <v>180000</v>
      </c>
      <c r="C44" s="73" t="str">
        <f aca="false">Inputs!$D$45</f>
        <v>CLP/mes</v>
      </c>
      <c r="D44" s="73" t="str">
        <f aca="false">Inputs!$E$45</f>
        <v>SUPUESTO</v>
      </c>
      <c r="E44" s="73" t="str">
        <f aca="false">Inputs!$F$45</f>
        <v>Etapa 10</v>
      </c>
      <c r="F44" s="73" t="str">
        <f aca="false">Inputs!$G$45</f>
        <v>Muestras, visitas y material comercial.</v>
      </c>
    </row>
    <row r="45" customFormat="false" ht="12.8" hidden="false" customHeight="false" outlineLevel="0" collapsed="false">
      <c r="A45" s="71" t="str">
        <f aca="false">Inputs!$B$46</f>
        <v>Seguros mensuales</v>
      </c>
      <c r="B45" s="75" t="n">
        <f aca="false">Inputs!$C$46</f>
        <v>60000</v>
      </c>
      <c r="C45" s="71" t="str">
        <f aca="false">Inputs!$D$46</f>
        <v>CLP/mes</v>
      </c>
      <c r="D45" s="71" t="str">
        <f aca="false">Inputs!$E$46</f>
        <v>SUPUESTO</v>
      </c>
      <c r="E45" s="71" t="str">
        <f aca="false">Inputs!$F$46</f>
        <v>Etapa 10</v>
      </c>
      <c r="F45" s="71" t="str">
        <f aca="false">Inputs!$G$46</f>
        <v>Cotización pendiente.</v>
      </c>
    </row>
    <row r="46" customFormat="false" ht="12.8" hidden="false" customHeight="false" outlineLevel="0" collapsed="false">
      <c r="A46" s="73" t="str">
        <f aca="false">Inputs!$B$47</f>
        <v>Días cuentas por cobrar</v>
      </c>
      <c r="B46" s="76" t="n">
        <f aca="false">Inputs!$C$47</f>
        <v>30</v>
      </c>
      <c r="C46" s="73" t="str">
        <f aca="false">Inputs!$D$47</f>
        <v>días</v>
      </c>
      <c r="D46" s="73" t="str">
        <f aca="false">Inputs!$E$47</f>
        <v>SUPUESTO</v>
      </c>
      <c r="E46" s="73" t="str">
        <f aca="false">Inputs!$F$47</f>
        <v>datos/parametros-02-competencia.json#precios.plazo_cobro_dias</v>
      </c>
      <c r="F46" s="73" t="str">
        <f aca="false">Inputs!$G$47</f>
        <v>Fallback consistente con el modelo de negocio; debe sustituirse por práctica validada.</v>
      </c>
    </row>
    <row r="47" customFormat="false" ht="12.8" hidden="false" customHeight="false" outlineLevel="0" collapsed="false">
      <c r="A47" s="71" t="str">
        <f aca="false">Inputs!$B$48</f>
        <v>Días inventario</v>
      </c>
      <c r="B47" s="77" t="n">
        <f aca="false">Inputs!$C$48</f>
        <v>15</v>
      </c>
      <c r="C47" s="71" t="str">
        <f aca="false">Inputs!$D$48</f>
        <v>días de costo variable</v>
      </c>
      <c r="D47" s="71" t="str">
        <f aca="false">Inputs!$E$48</f>
        <v>SUPUESTO</v>
      </c>
      <c r="E47" s="71" t="str">
        <f aca="false">Inputs!$F$48</f>
        <v>Etapa 10</v>
      </c>
      <c r="F47" s="71" t="str">
        <f aca="false">Inputs!$G$48</f>
        <v>Materia prima más producto terminado.</v>
      </c>
    </row>
    <row r="48" customFormat="false" ht="12.8" hidden="false" customHeight="false" outlineLevel="0" collapsed="false">
      <c r="A48" s="73" t="str">
        <f aca="false">Inputs!$B$49</f>
        <v>Días cuentas por pagar</v>
      </c>
      <c r="B48" s="76" t="n">
        <f aca="false">Inputs!$C$49</f>
        <v>0</v>
      </c>
      <c r="C48" s="73" t="str">
        <f aca="false">Inputs!$D$49</f>
        <v>días de costo variable</v>
      </c>
      <c r="D48" s="73" t="str">
        <f aca="false">Inputs!$E$49</f>
        <v>SUPUESTO</v>
      </c>
      <c r="E48" s="73" t="str">
        <f aca="false">Inputs!$F$49</f>
        <v>Etapa 10</v>
      </c>
      <c r="F48" s="73" t="str">
        <f aca="false">Inputs!$G$49</f>
        <v>Caso conservador sin crédito de proveedores.</v>
      </c>
    </row>
    <row r="49" customFormat="false" ht="12.8" hidden="false" customHeight="false" outlineLevel="0" collapsed="false">
      <c r="A49" s="71" t="str">
        <f aca="false">Inputs!$B$50</f>
        <v>Costo de personal mensual (0 = calcular)</v>
      </c>
      <c r="B49" s="75" t="n">
        <f aca="false">Inputs!$C$50</f>
        <v>2393830</v>
      </c>
      <c r="C49" s="71" t="str">
        <f aca="false">Inputs!$D$50</f>
        <v>CLP/mes</v>
      </c>
      <c r="D49" s="71" t="str">
        <f aca="false">Inputs!$E$50</f>
        <v>ESTIMADO</v>
      </c>
      <c r="E49" s="71" t="str">
        <f aca="false">Inputs!$F$50</f>
        <v>09-rrhh/index.html</v>
      </c>
      <c r="F49" s="71" t="str">
        <f aca="false">Inputs!$G$50</f>
        <v>DERIVADO, no es un dato independiente: 1.100.000 × 1,0853 + 1.200.000. Existe sólo para evitar que el retiro de la titular se pierda si el modelo cablea una sola línea de personal. Si se usa esta clave, NO multiplicar de nuevo por macro.factor_costo_empresa. Compara contra el stub de E10 (2.200.000 × 1,22 = 2.684.000): $290.170/mes menos, $3.482.040 al año.</v>
      </c>
    </row>
    <row r="50" customFormat="false" ht="12.8" hidden="false" customHeight="false" outlineLevel="0" collapsed="false">
      <c r="A50" s="73" t="str">
        <f aca="false">Inputs!$B$51</f>
        <v>Capacidad instalada (un/día, 0 = sin tope)</v>
      </c>
      <c r="B50" s="76" t="n">
        <f aca="false">Inputs!$C$51</f>
        <v>60</v>
      </c>
      <c r="C50" s="73" t="str">
        <f aca="false">Inputs!$D$51</f>
        <v>unidades/día (SKU familiar 30 cm)</v>
      </c>
      <c r="D50" s="73" t="str">
        <f aca="false">Inputs!$E$51</f>
        <v>ESTIMADO</v>
      </c>
      <c r="E50" s="73" t="str">
        <f aca="false">Inputs!$F$51</f>
        <v>https://calvac.cl/venta/abatidor-10-bandejas-2/ + https://www.supermaq.cl/abatidor/abatidor_congelador_5_bandejas.pdf</v>
      </c>
      <c r="F50" s="73" t="str">
        <f aca="false">Inputs!$G$51</f>
        <v>Cuello de botella GEOMÉTRICO, no térmico. Bandeja de 610x410 mm: floor(610/300) x floor(410/300) = 2 discos de 300 mm por bandeja; 10 bandejas = 20 pizzas/ciclo = 8,5 kg, el 28% de los 30 kg declarados. Con ciclo de 240 min: 2 ciclos en jornada de 8,4 h más 1 ciclo desatendido que el equipo almacena solo al terminar = 3 ciclos/día x 20 = 60. Techo absoluto con operación 24 h: 6 ciclos = 120/día. El horno pizzero de 2 cámaras 40x40 (~24 pizzas/h) y la amasadora de 20 kg (83 bollos de 240 g) NO son limitantes. En SKU individual de 200 mm: 3x2 = 6 por bandeja = 60/ciclo = 180/día.</v>
      </c>
    </row>
    <row r="51" customFormat="false" ht="12.8" hidden="false" customHeight="false" outlineLevel="0" collapsed="false">
      <c r="A51" s="71" t="str">
        <f aca="false">Inputs!$B$52</f>
        <v>Días de operación al mes</v>
      </c>
      <c r="B51" s="77" t="n">
        <f aca="false">Inputs!$C$52</f>
        <v>22</v>
      </c>
      <c r="C51" s="71" t="str">
        <f aca="false">Inputs!$D$52</f>
        <v>días/mes</v>
      </c>
      <c r="D51" s="71" t="str">
        <f aca="false">Inputs!$E$52</f>
        <v>ESTIMADO</v>
      </c>
      <c r="E51" s="71" t="str">
        <f aca="false">Inputs!$F$52</f>
        <v>https://www.dt.gob.cl/legislacion/1624/w3-article-129189.html</v>
      </c>
      <c r="F51" s="71" t="str">
        <f aca="false">Inputs!$G$52</f>
        <v>CLAVE NUEVA. Jornada de 42 horas semanales desde el 26-04-2026 (Ley 21.561, confirmado por ORD. 253/21 de la Dirección del Trabajo). Turno único de 5 días x 8,4 h; 52/12 = 4,333 semanas/mes x 5 = 21,7, redondeado a 22. Es decisión de diseño operacional, no un dato: un segundo turno o sábados la cambian. Capacidad mensual = 60 x 22 = 1.320 pizzas familiares.</v>
      </c>
    </row>
    <row r="52" customFormat="false" ht="12.8" hidden="false" customHeight="false" outlineLevel="0" collapsed="false">
      <c r="A52" s="73" t="str">
        <f aca="false">Inputs!$B$53</f>
        <v>Abatidor</v>
      </c>
      <c r="B52" s="80" t="n">
        <f aca="false">Inputs!$C$53</f>
        <v>2779980</v>
      </c>
      <c r="C52" s="73" t="str">
        <f aca="false">Inputs!$D$53</f>
        <v>CLP neto</v>
      </c>
      <c r="D52" s="73" t="str">
        <f aca="false">Inputs!$E$53</f>
        <v>VERIFICADO</v>
      </c>
      <c r="E52" s="73" t="str">
        <f aca="false">Inputs!$F$53</f>
        <v>https://calvac.cl/venta/abatidor-10-bandejas-2/</v>
      </c>
      <c r="F52" s="73" t="str">
        <f aca="false">Inputs!$G$53</f>
        <v>10 bandejas, congelación declarada hasta 30 kg; precio publicado + IVA.</v>
      </c>
    </row>
    <row r="53" customFormat="false" ht="12.8" hidden="false" customHeight="false" outlineLevel="0" collapsed="false">
      <c r="A53" s="71" t="str">
        <f aca="false">Inputs!$B$54</f>
        <v>Amasadora</v>
      </c>
      <c r="B53" s="75" t="n">
        <f aca="false">Inputs!$C$54</f>
        <v>747815</v>
      </c>
      <c r="C53" s="71" t="str">
        <f aca="false">Inputs!$D$54</f>
        <v>CLP neto</v>
      </c>
      <c r="D53" s="71" t="str">
        <f aca="false">Inputs!$E$54</f>
        <v>VERIFICADO</v>
      </c>
      <c r="E53" s="71" t="str">
        <f aca="false">Inputs!$F$54</f>
        <v>https://www.supermaq.cl/amasadoras/amasadora_20_kilos/</v>
      </c>
      <c r="F53" s="71" t="str">
        <f aca="false">Inputs!$G$54</f>
        <v>Amasadora espiral 20 kg, precio internet + IVA.</v>
      </c>
    </row>
    <row r="54" customFormat="false" ht="12.8" hidden="false" customHeight="false" outlineLevel="0" collapsed="false">
      <c r="A54" s="73" t="str">
        <f aca="false">Inputs!$B$55</f>
        <v>Horno</v>
      </c>
      <c r="B54" s="80" t="n">
        <f aca="false">Inputs!$C$55</f>
        <v>400000</v>
      </c>
      <c r="C54" s="73" t="str">
        <f aca="false">Inputs!$D$55</f>
        <v>CLP neto</v>
      </c>
      <c r="D54" s="73" t="str">
        <f aca="false">Inputs!$E$55</f>
        <v>VERIFICADO</v>
      </c>
      <c r="E54" s="73" t="str">
        <f aca="false">Inputs!$F$55</f>
        <v>https://www.supermaq.cl/hornos_pizza/horno_electrico_pizzero_2_camara_40x40.pdf</v>
      </c>
      <c r="F54" s="73" t="str">
        <f aca="false">Inputs!$G$55</f>
        <v>Horno pizzero eléctrico dos cámaras, oferta + IVA; verificar capacidad real de precocción.</v>
      </c>
    </row>
    <row r="55" customFormat="false" ht="12.8" hidden="false" customHeight="false" outlineLevel="0" collapsed="false">
      <c r="A55" s="71" t="str">
        <f aca="false">Inputs!$B$56</f>
        <v>Selladora al vacío</v>
      </c>
      <c r="B55" s="75" t="n">
        <f aca="false">Inputs!$C$56</f>
        <v>570000</v>
      </c>
      <c r="C55" s="71" t="str">
        <f aca="false">Inputs!$D$56</f>
        <v>CLP neto</v>
      </c>
      <c r="D55" s="71" t="str">
        <f aca="false">Inputs!$E$56</f>
        <v>ESTIMADO</v>
      </c>
      <c r="E55" s="71" t="str">
        <f aca="false">Inputs!$F$56</f>
        <v>https://www.supermaq.cl/pdf/camara.cl_selladora_al_vacio_300_mm_dz300.pdf</v>
      </c>
      <c r="F55" s="71" t="str">
        <f aca="false">Inputs!$G$56</f>
        <v>Ficha con precio publicado; confirmar vigencia y compatibilidad con formato.</v>
      </c>
    </row>
    <row r="56" customFormat="false" ht="12.8" hidden="false" customHeight="false" outlineLevel="0" collapsed="false">
      <c r="A56" s="73" t="str">
        <f aca="false">Inputs!$B$57</f>
        <v>Mesón refrigerado</v>
      </c>
      <c r="B56" s="80" t="n">
        <f aca="false">Inputs!$C$57</f>
        <v>620000</v>
      </c>
      <c r="C56" s="73" t="str">
        <f aca="false">Inputs!$D$57</f>
        <v>CLP neto</v>
      </c>
      <c r="D56" s="73" t="str">
        <f aca="false">Inputs!$E$57</f>
        <v>ESTIMADO</v>
      </c>
      <c r="E56" s="73" t="str">
        <f aca="false">Inputs!$F$57</f>
        <v>https://www.industriaminera.cl/producto/biggi-chile-sa-mesones-refrigerados/</v>
      </c>
      <c r="F56" s="73" t="str">
        <f aca="false">Inputs!$G$57</f>
        <v>Mesón 120 cm publicado + IVA; confirmar vigencia.</v>
      </c>
    </row>
    <row r="57" customFormat="false" ht="12.8" hidden="false" customHeight="false" outlineLevel="0" collapsed="false">
      <c r="A57" s="71" t="str">
        <f aca="false">Inputs!$B$58</f>
        <v>Congeladores</v>
      </c>
      <c r="B57" s="75" t="n">
        <f aca="false">Inputs!$C$58</f>
        <v>700000</v>
      </c>
      <c r="C57" s="71" t="str">
        <f aca="false">Inputs!$D$58</f>
        <v>CLP neto</v>
      </c>
      <c r="D57" s="71" t="str">
        <f aca="false">Inputs!$E$58</f>
        <v>SUPUESTO</v>
      </c>
      <c r="E57" s="71" t="str">
        <f aca="false">Inputs!$F$58</f>
        <v>https://gastronomicareal.cl/refrigeracion/congeladoras</v>
      </c>
      <c r="F57" s="71" t="str">
        <f aca="false">Inputs!$G$58</f>
        <v>Bolsa para almacenamiento −18 °C; requiere selección por capacidad y redundancia.</v>
      </c>
    </row>
    <row r="58" customFormat="false" ht="12.8" hidden="false" customHeight="false" outlineLevel="0" collapsed="false">
      <c r="A58" s="73" t="str">
        <f aca="false">Inputs!$B$59</f>
        <v>Acero, lavado y extracción</v>
      </c>
      <c r="B58" s="80" t="n">
        <f aca="false">Inputs!$C$59</f>
        <v>1800000</v>
      </c>
      <c r="C58" s="73" t="str">
        <f aca="false">Inputs!$D$59</f>
        <v>CLP neto</v>
      </c>
      <c r="D58" s="73" t="str">
        <f aca="false">Inputs!$E$59</f>
        <v>SUPUESTO</v>
      </c>
      <c r="E58" s="73" t="str">
        <f aca="false">Inputs!$F$59</f>
        <v>Etapa 10</v>
      </c>
      <c r="F58" s="73" t="str">
        <f aca="false">Inputs!$G$59</f>
        <v>Mesones, lavaderos, campana y elementos fijos; cotización pendiente.</v>
      </c>
    </row>
    <row r="59" customFormat="false" ht="12.8" hidden="false" customHeight="false" outlineLevel="0" collapsed="false">
      <c r="A59" s="71" t="str">
        <f aca="false">Inputs!$B$60</f>
        <v>Racks, bandejas e instrumentos</v>
      </c>
      <c r="B59" s="75" t="n">
        <f aca="false">Inputs!$C$60</f>
        <v>1200000</v>
      </c>
      <c r="C59" s="71" t="str">
        <f aca="false">Inputs!$D$60</f>
        <v>CLP neto</v>
      </c>
      <c r="D59" s="71" t="str">
        <f aca="false">Inputs!$E$60</f>
        <v>SUPUESTO</v>
      </c>
      <c r="E59" s="71" t="str">
        <f aca="false">Inputs!$F$60</f>
        <v>Etapa 10</v>
      </c>
      <c r="F59" s="71" t="str">
        <f aca="false">Inputs!$G$60</f>
        <v>Carros, bandejas, balanzas, sondas y utensilios.</v>
      </c>
    </row>
    <row r="60" customFormat="false" ht="12.8" hidden="false" customHeight="false" outlineLevel="0" collapsed="false">
      <c r="A60" s="73" t="str">
        <f aca="false">Inputs!$B$61</f>
        <v>Envolvente de equipos etapa 05 (0 = sumar líneas)</v>
      </c>
      <c r="B60" s="80" t="n">
        <f aca="false">Inputs!$C$61</f>
        <v>10120237</v>
      </c>
      <c r="C60" s="73" t="str">
        <f aca="false">Inputs!$D$61</f>
        <v>CLP neto</v>
      </c>
      <c r="D60" s="73" t="str">
        <f aca="false">Inputs!$E$61</f>
        <v>ESTIMADO</v>
      </c>
      <c r="E60" s="73" t="str">
        <f aca="false">Inputs!$F$61</f>
        <v>https://calvac.cl/venta/abatidor-de-temperatura-10-bandejas-290-litros/ ; https://www.supermaq.cl/amasadoras/amasadora_20_kilos/ ; https://www.supermaq.cl/sobadoras/laminadora_de_masa_40_cm_ventus./ ; https://www.industriaminera.cl/producto/biggi-chile-sa-mesones-refrigerados/ ; https://lacasita.cl/producto/congelador-industrial-2-puertas-500-litros-maigas/ ; https://lacasita.cl/producto/campana-mural-acero-inoxidable-200x100-maigas/ ; https://gastromaq.cl/producto/carro-bandejero-15-niveles-acero-inoxidable-bandejas-60x40-cm-mod-1-gastromaq/</v>
      </c>
      <c r="F60" s="73" t="str">
        <f aca="false">Inputs!$G$61</f>
        <v>Suma de precios de publicación netos, NO de cotizaciones. Canasta: abatidor 10 bandejas 290 L EN STOCK $3.898.990 + amasadora 20 kg $747.815 + horno pizzero 2 cámaras 40x40 $400.000 + laminadora 40 cm $231.000 + mesón refrigerado 120 cm $620.000 + dos congeladores 500 L $2.596.700 + campana 200x100 $546.250 + mesones 240x60 y 140x60 $352.140 + dos carros bandejeros $403.362 + lavafondo doble $219.990 + lavamanos $103.990. EXCLUYE lo mismo que el escenario austero (envasado, bandejas, balanza, sonda, registrador) más ductos de campana, empalme y obra civil, que son de E7. Reemplaza a las ocho líneas hardcodeadas de datos/parametros-10-financiero.json#inversion, que suman $8.817.795 y contienen un abatidor sin stock, un horno de cámara 40x40 cm y una selladora de vacío incompatible con el producto.</v>
      </c>
    </row>
    <row r="61" customFormat="false" ht="12.8" hidden="false" customHeight="false" outlineLevel="0" collapsed="false">
      <c r="A61" s="71" t="str">
        <f aca="false">Inputs!$B$62</f>
        <v>Flete e instalación</v>
      </c>
      <c r="B61" s="72" t="n">
        <f aca="false">Inputs!$C$62</f>
        <v>0.15</v>
      </c>
      <c r="C61" s="71" t="str">
        <f aca="false">Inputs!$D$62</f>
        <v>% sobre equipos</v>
      </c>
      <c r="D61" s="71" t="str">
        <f aca="false">Inputs!$E$62</f>
        <v>SUPUESTO</v>
      </c>
      <c r="E61" s="71" t="str">
        <f aca="false">Inputs!$F$62</f>
        <v>Etapa 10</v>
      </c>
      <c r="F61" s="71" t="str">
        <f aca="false">Inputs!$G$62</f>
        <v>Flete Santiago–Temuco, conexión y puesta en marcha.</v>
      </c>
    </row>
    <row r="62" customFormat="false" ht="12.8" hidden="false" customHeight="false" outlineLevel="0" collapsed="false">
      <c r="A62" s="73" t="str">
        <f aca="false">Inputs!$B$63</f>
        <v>Habilitación sanitaria</v>
      </c>
      <c r="B62" s="80" t="n">
        <f aca="false">Inputs!$C$63</f>
        <v>12000000</v>
      </c>
      <c r="C62" s="73" t="str">
        <f aca="false">Inputs!$D$63</f>
        <v>CLP neto</v>
      </c>
      <c r="D62" s="73" t="str">
        <f aca="false">Inputs!$E$63</f>
        <v>SUPUESTO</v>
      </c>
      <c r="E62" s="73" t="str">
        <f aca="false">Inputs!$F$63</f>
        <v>07-local-habilitacion/index.html</v>
      </c>
      <c r="F62" s="73" t="str">
        <f aca="false">Inputs!$G$63</f>
        <v>Riesgo principal; reemplazar por presupuesto desglosado de un local real.</v>
      </c>
    </row>
    <row r="63" customFormat="false" ht="12.8" hidden="false" customHeight="false" outlineLevel="0" collapsed="false">
      <c r="A63" s="71" t="str">
        <f aca="false">Inputs!$B$64</f>
        <v>Trámites, análisis y rotulado</v>
      </c>
      <c r="B63" s="75" t="n">
        <f aca="false">Inputs!$C$64</f>
        <v>1000000</v>
      </c>
      <c r="C63" s="71" t="str">
        <f aca="false">Inputs!$D$64</f>
        <v>CLP neto</v>
      </c>
      <c r="D63" s="71" t="str">
        <f aca="false">Inputs!$E$64</f>
        <v>SUPUESTO</v>
      </c>
      <c r="E63" s="71" t="str">
        <f aca="false">Inputs!$F$64</f>
        <v>08-legal-normativo/index.html</v>
      </c>
      <c r="F63" s="71" t="str">
        <f aca="false">Inputs!$G$64</f>
        <v>Aranceles, laboratorio y artes; cotización pendiente.</v>
      </c>
    </row>
    <row r="64" customFormat="false" ht="12.8" hidden="false" customHeight="false" outlineLevel="0" collapsed="false">
      <c r="A64" s="73" t="str">
        <f aca="false">Inputs!$B$65</f>
        <v>Preoperación</v>
      </c>
      <c r="B64" s="80" t="n">
        <f aca="false">Inputs!$C$65</f>
        <v>1500000</v>
      </c>
      <c r="C64" s="73" t="str">
        <f aca="false">Inputs!$D$65</f>
        <v>CLP neto</v>
      </c>
      <c r="D64" s="73" t="str">
        <f aca="false">Inputs!$E$65</f>
        <v>SUPUESTO</v>
      </c>
      <c r="E64" s="73" t="str">
        <f aca="false">Inputs!$F$65</f>
        <v>Etapa 10</v>
      </c>
      <c r="F64" s="73" t="str">
        <f aca="false">Inputs!$G$65</f>
        <v>Pruebas, capacitación, muestras y apertura.</v>
      </c>
    </row>
    <row r="65" customFormat="false" ht="12.8" hidden="false" customHeight="false" outlineLevel="0" collapsed="false">
      <c r="A65" s="71" t="str">
        <f aca="false">Inputs!$B$66</f>
        <v>Contingencia</v>
      </c>
      <c r="B65" s="72" t="n">
        <f aca="false">Inputs!$C$66</f>
        <v>0.15</v>
      </c>
      <c r="C65" s="71" t="str">
        <f aca="false">Inputs!$D$66</f>
        <v>% sobre equipos, instalación y habilitación</v>
      </c>
      <c r="D65" s="71" t="str">
        <f aca="false">Inputs!$E$66</f>
        <v>SUPUESTO</v>
      </c>
      <c r="E65" s="71" t="str">
        <f aca="false">Inputs!$F$66</f>
        <v>https://services.austintexas.gov/edims/document.cfm?id=280770</v>
      </c>
      <c r="F65" s="71" t="str">
        <f aca="false">Inputs!$G$66</f>
        <v>SE MANTIENE EN 15% Y SE DECLARA POR QUÉ. No se encontró estándar chileno citable de contingencia por clase de estimación, y AACE 18R-97 es explícita en que la contingencia se determina por análisis de riesgo del proyecto y nunca se predetermina; subirla a un número redondo sería relleno. Datos duros: con 15% la reserva es de $3.321.070, prácticamente idéntica a la holgura de $3.317.555 contra el límite de $50.000.000 — es decir, consumir la contingencia equivale a agotar la holgura. Valor crítico: 29,98%; por sobre ese punto el fondeo máximo supera $50.000.000. Gestión: presupuesto desglosado de arquitecto o constructor sobre un local candidato visitado (etapa 07).</v>
      </c>
    </row>
    <row r="66" customFormat="false" ht="12.8" hidden="false" customHeight="false" outlineLevel="0" collapsed="false">
      <c r="A66" s="73" t="str">
        <f aca="false">Inputs!$B$67</f>
        <v>Garantía de arriendo</v>
      </c>
      <c r="B66" s="76" t="n">
        <f aca="false">Inputs!$C$67</f>
        <v>2</v>
      </c>
      <c r="C66" s="73" t="str">
        <f aca="false">Inputs!$D$67</f>
        <v>meses</v>
      </c>
      <c r="D66" s="73" t="str">
        <f aca="false">Inputs!$E$67</f>
        <v>SUPUESTO</v>
      </c>
      <c r="E66" s="73" t="str">
        <f aca="false">Inputs!$F$67</f>
        <v>Etapa 10</v>
      </c>
      <c r="F66" s="73" t="str">
        <f aca="false">Inputs!$G$67</f>
        <v>Activo recuperable al final si no hay daños.</v>
      </c>
    </row>
    <row r="67" customFormat="false" ht="12.8" hidden="false" customHeight="false" outlineLevel="0" collapsed="false">
      <c r="A67" s="71" t="str">
        <f aca="false">Inputs!$B$68</f>
        <v>Vida depreciable</v>
      </c>
      <c r="B67" s="77" t="n">
        <f aca="false">Inputs!$C$68</f>
        <v>10</v>
      </c>
      <c r="C67" s="71" t="str">
        <f aca="false">Inputs!$D$68</f>
        <v>años lineales</v>
      </c>
      <c r="D67" s="71" t="str">
        <f aca="false">Inputs!$E$68</f>
        <v>ESTIMADO</v>
      </c>
      <c r="E67" s="71" t="str">
        <f aca="false">Inputs!$F$68</f>
        <v>https://www.sii.cl/valores_y_fechas/tabla_vida_util_activo_inmovilizado.html</v>
      </c>
      <c r="F67" s="71" t="str">
        <f aca="false">Inputs!$G$68</f>
        <v>Promedio ponderado por monto de las vidas útiles NORMALES que publica el SII (Resolución Exenta 43 de 2002), aplicadas al envolvente base: equipos de aire y cámaras de refrigeración 10 años (abatidor $3.898.990); refrigeradores y conservadoras 9 años (congeladores $2.596.700, mesón refrigerado $620.000); cocinas 9 años (horno $400.000); maquinaria y equipos en general 15 años (amasadora $747.815, laminadora $231.000); instalaciones en general 10 años (campana $546.250, lavado $323.980); muebles y enseres 7 años (mesones $352.140, carros $403.362). Resultado 9,90 años, redondeado a 10. ADVERTENCIA PARA E10: esta es vida útil ECONÓMICA, no el calendario tributario. La etapa 10 ya supone régimen Pro Pyme 14 D N°3 al aplicar 12,5% el año 1; bajo ese régimen la depreciación del activo inmovilizado es INSTANTÁNEA E ÍNTEGRA en el ejercicio de adquisición (Circular SII 62/2020, https://www.sii.cl/normativa_legislacion/circulares/2020/circu62.pdf). El valor 5 que hoy usa E10 no es ninguna de las dos cosas: es la vida ACELERADA de maquinaria general, que no aplica al mix ni al régimen supuesto.</v>
      </c>
    </row>
    <row r="68" customFormat="false" ht="12.8" hidden="false" customHeight="false" outlineLevel="0" collapsed="false">
      <c r="A68" s="73" t="str">
        <f aca="false">Inputs!$B$69</f>
        <v>Valor residual</v>
      </c>
      <c r="B68" s="74" t="n">
        <f aca="false">Inputs!$C$69</f>
        <v>0.1</v>
      </c>
      <c r="C68" s="73" t="str">
        <f aca="false">Inputs!$D$69</f>
        <v>% del CAPEX depreciable</v>
      </c>
      <c r="D68" s="73" t="str">
        <f aca="false">Inputs!$E$69</f>
        <v>SUPUESTO</v>
      </c>
      <c r="E68" s="73" t="str">
        <f aca="false">Inputs!$F$69</f>
        <v>Etapa 10</v>
      </c>
      <c r="F68" s="73" t="str">
        <f aca="false">Inputs!$G$69</f>
        <v>Valor de realización al año 5 antes de impuesto.</v>
      </c>
    </row>
    <row r="69" customFormat="false" ht="12.8" hidden="false" customHeight="false" outlineLevel="0" collapsed="false">
      <c r="A69" s="71" t="str">
        <f aca="false">Inputs!$B$70</f>
        <v>Pesimista: precio</v>
      </c>
      <c r="B69" s="78" t="n">
        <f aca="false">Inputs!$C$70</f>
        <v>0.72</v>
      </c>
      <c r="C69" s="71" t="str">
        <f aca="false">Inputs!$D$70</f>
        <v>multiplicador sobre el precio base</v>
      </c>
      <c r="D69" s="71" t="str">
        <f aca="false">Inputs!$E$70</f>
        <v>ESTIMADO</v>
      </c>
      <c r="E69" s="71" t="str">
        <f aca="false">Inputs!$F$70</f>
        <v>02-competencia/index.html</v>
      </c>
      <c r="F69" s="71" t="str">
        <f aca="false">Inputs!$G$70</f>
        <v>Ancla: PF Listo familiar en promoción, $3.017 netos, precio retail regional observado en Temuco. 3.017 ÷ 4.200 = 0,718. Es un escenario definido, no un pronóstico. Consecuencia: la contribución unitaria cae de $1.547 a $364 contra un costo fijo anual de $50.969.179; VAN −$147.746.510. Recalcular si cambia precios.precio_venta_b2b_familiar_clp.</v>
      </c>
    </row>
    <row r="70" customFormat="false" ht="12.8" hidden="false" customHeight="false" outlineLevel="0" collapsed="false">
      <c r="A70" s="73" t="str">
        <f aca="false">Inputs!$B$71</f>
        <v>Pesimista: volumen</v>
      </c>
      <c r="B70" s="76" t="n">
        <f aca="false">Inputs!$C$71</f>
        <v>1</v>
      </c>
      <c r="C70" s="73" t="str">
        <f aca="false">Inputs!$D$71</f>
        <v>multiplicador</v>
      </c>
      <c r="D70" s="73" t="str">
        <f aca="false">Inputs!$E$71</f>
        <v>PENDIENTE</v>
      </c>
      <c r="E70" s="73" t="str">
        <f aca="false">Inputs!$F$71</f>
        <v>datos/supuestos.json#escenarios.volumen_pesimista_factor</v>
      </c>
      <c r="F70" s="73" t="str">
        <f aca="false">Inputs!$G$71</f>
        <v>SIN ANCLA — la etapa 12 no publicó banda para esta variable. Entra neutro (1,00) para no fabricar un escenario. Fórmula publicada: factor = mercado.som_ano1_pizzas_mes ÷ 2.500. No se inventa un 0,80. Referencias del modelo: a 2.254 pizzas/mes el fondeo máximo alcanza $50.000.000; a 1.972 pizzas/mes el VAN se anula; el equilibrio está en 2.666 pizzas/mes, por sobre el volumen base de 2.500.</v>
      </c>
    </row>
    <row r="71" customFormat="false" ht="12.8" hidden="false" customHeight="false" outlineLevel="0" collapsed="false">
      <c r="A71" s="71" t="str">
        <f aca="false">Inputs!$B$72</f>
        <v>Pesimista: costo variable</v>
      </c>
      <c r="B71" s="77" t="n">
        <f aca="false">Inputs!$C$72</f>
        <v>1</v>
      </c>
      <c r="C71" s="71" t="str">
        <f aca="false">Inputs!$D$72</f>
        <v>multiplicador</v>
      </c>
      <c r="D71" s="71" t="str">
        <f aca="false">Inputs!$E$72</f>
        <v>PENDIENTE</v>
      </c>
      <c r="E71" s="71" t="str">
        <f aca="false">Inputs!$F$72</f>
        <v>datos/supuestos.json#escenarios.costo_variable_pesimista_factor</v>
      </c>
      <c r="F71" s="71" t="str">
        <f aca="false">Inputs!$G$72</f>
        <v>SIN ANCLA — la etapa 12 no publicó banda para esta variable. Entra neutro (1,00) para no fabricar un escenario. Sin cotización industrial de mozzarella no hay ancla. Referencias del modelo sobre un costo variable base de $2.653/pizza: +3,89% lleva el fondeo máximo a $50.000.000; +11,68% anula el VAN.</v>
      </c>
    </row>
    <row r="72" customFormat="false" ht="12.8" hidden="false" customHeight="false" outlineLevel="0" collapsed="false">
      <c r="A72" s="73" t="str">
        <f aca="false">Inputs!$B$73</f>
        <v>Pesimista: costo fijo</v>
      </c>
      <c r="B72" s="76" t="n">
        <f aca="false">Inputs!$C$73</f>
        <v>1</v>
      </c>
      <c r="C72" s="73" t="str">
        <f aca="false">Inputs!$D$73</f>
        <v>multiplicador</v>
      </c>
      <c r="D72" s="73" t="str">
        <f aca="false">Inputs!$E$73</f>
        <v>PENDIENTE</v>
      </c>
      <c r="E72" s="73" t="str">
        <f aca="false">Inputs!$F$73</f>
        <v>datos/supuestos.json#escenarios.costo_fijo_pesimista_factor</v>
      </c>
      <c r="F72" s="73" t="str">
        <f aca="false">Inputs!$G$73</f>
        <v>SIN ANCLA — la etapa 12 no publicó banda para esta variable. Entra neutro (1,00) para no fabricar un escenario. Sin dotación de la etapa 09 ni canon real de la etapa 07 no hay ancla. Referencias del modelo sobre un costo fijo base de $4.123.720/mes: +6,51% lleva el fondeo máximo a $50.000.000; +31,35% anula el VAN.</v>
      </c>
    </row>
    <row r="73" customFormat="false" ht="12.8" hidden="false" customHeight="false" outlineLevel="0" collapsed="false">
      <c r="A73" s="71" t="str">
        <f aca="false">Inputs!$B$74</f>
        <v>Pesimista: CAPEX</v>
      </c>
      <c r="B73" s="78" t="n">
        <f aca="false">Inputs!$C$74</f>
        <v>1.3</v>
      </c>
      <c r="C73" s="71" t="str">
        <f aca="false">Inputs!$D$74</f>
        <v>multiplicador sobre equipos y habilitación</v>
      </c>
      <c r="D73" s="71" t="str">
        <f aca="false">Inputs!$E$74</f>
        <v>ESTIMADO</v>
      </c>
      <c r="E73" s="71" t="str">
        <f aca="false">Inputs!$F$74</f>
        <v>AACE International 18R-97 (rev. 01-03-2016), Tabla 1 — https://services.austintexas.gov/edims/document.cfm?id=280770</v>
      </c>
      <c r="F73" s="71" t="str">
        <f aca="false">Inputs!$G$74</f>
        <v>El CAPEX vigente es una estimación Clase 5 (definición 0–2%, método de juicio y analogía, precios de publicación web y ninguna cotización de habilitación). AACE asigna a la Clase 5 un rango alto de +30% a +100% DESPUÉS de aplicar contingencia. Se toma el extremo MENOS alarmante de esa banda, +30%. Consecuencia: fondeo máximo $54.320.905, es decir NO CABE en $50.000.000. El valor de quiebre es apenas +13,03%, muy por dentro del rango propio de la clase de estimación.</v>
      </c>
    </row>
    <row r="74" customFormat="false" ht="12.8" hidden="false" customHeight="false" outlineLevel="0" collapsed="false">
      <c r="A74" s="73" t="str">
        <f aca="false">Inputs!$B$75</f>
        <v>Base: precio</v>
      </c>
      <c r="B74" s="76" t="n">
        <f aca="false">Inputs!$C$75</f>
        <v>1</v>
      </c>
      <c r="C74" s="73" t="str">
        <f aca="false">Inputs!$D$75</f>
        <v>multiplicador</v>
      </c>
      <c r="D74" s="73" t="str">
        <f aca="false">Inputs!$E$75</f>
        <v>VERIFICADO</v>
      </c>
      <c r="E74" s="73" t="str">
        <f aca="false">Inputs!$F$75</f>
        <v>datos/parametros-10-financiero.json#modelo.precio_b2b_familiar_base_clp</v>
      </c>
      <c r="F74" s="73" t="str">
        <f aca="false">Inputs!$G$75</f>
        <v>Identidad. El nivel base sigue siendo SUPUESTO; lo verificado es el multiplicador.</v>
      </c>
    </row>
    <row r="75" customFormat="false" ht="12.8" hidden="false" customHeight="false" outlineLevel="0" collapsed="false">
      <c r="A75" s="71" t="str">
        <f aca="false">Inputs!$B$76</f>
        <v>Base: volumen</v>
      </c>
      <c r="B75" s="77" t="n">
        <f aca="false">Inputs!$C$76</f>
        <v>1</v>
      </c>
      <c r="C75" s="71" t="str">
        <f aca="false">Inputs!$D$76</f>
        <v>multiplicador</v>
      </c>
      <c r="D75" s="71" t="str">
        <f aca="false">Inputs!$E$76</f>
        <v>VERIFICADO</v>
      </c>
      <c r="E75" s="71" t="str">
        <f aca="false">Inputs!$F$76</f>
        <v>datos/parametros-10-financiero.json#modelo.volumen_ano1_unidades</v>
      </c>
      <c r="F75" s="71" t="str">
        <f aca="false">Inputs!$G$76</f>
        <v>Identidad.</v>
      </c>
    </row>
    <row r="76" customFormat="false" ht="12.8" hidden="false" customHeight="false" outlineLevel="0" collapsed="false">
      <c r="A76" s="73" t="str">
        <f aca="false">Inputs!$B$77</f>
        <v>Base: costo variable</v>
      </c>
      <c r="B76" s="76" t="n">
        <f aca="false">Inputs!$C$77</f>
        <v>1</v>
      </c>
      <c r="C76" s="73" t="str">
        <f aca="false">Inputs!$D$77</f>
        <v>multiplicador</v>
      </c>
      <c r="D76" s="73" t="str">
        <f aca="false">Inputs!$E$77</f>
        <v>VERIFICADO</v>
      </c>
      <c r="E76" s="73" t="str">
        <f aca="false">Inputs!$F$77</f>
        <v>10-financiero/modelo.js</v>
      </c>
      <c r="F76" s="73" t="str">
        <f aca="false">Inputs!$G$77</f>
        <v>Identidad.</v>
      </c>
    </row>
    <row r="77" customFormat="false" ht="12.8" hidden="false" customHeight="false" outlineLevel="0" collapsed="false">
      <c r="A77" s="71" t="str">
        <f aca="false">Inputs!$B$78</f>
        <v>Base: costo fijo</v>
      </c>
      <c r="B77" s="77" t="n">
        <f aca="false">Inputs!$C$78</f>
        <v>1</v>
      </c>
      <c r="C77" s="71" t="str">
        <f aca="false">Inputs!$D$78</f>
        <v>multiplicador</v>
      </c>
      <c r="D77" s="71" t="str">
        <f aca="false">Inputs!$E$78</f>
        <v>VERIFICADO</v>
      </c>
      <c r="E77" s="71" t="str">
        <f aca="false">Inputs!$F$78</f>
        <v>10-financiero/modelo.js</v>
      </c>
      <c r="F77" s="71" t="str">
        <f aca="false">Inputs!$G$78</f>
        <v>Identidad.</v>
      </c>
    </row>
    <row r="78" customFormat="false" ht="12.8" hidden="false" customHeight="false" outlineLevel="0" collapsed="false">
      <c r="A78" s="73" t="str">
        <f aca="false">Inputs!$B$79</f>
        <v>Base: CAPEX</v>
      </c>
      <c r="B78" s="76" t="n">
        <f aca="false">Inputs!$C$79</f>
        <v>1</v>
      </c>
      <c r="C78" s="73" t="str">
        <f aca="false">Inputs!$D$79</f>
        <v>multiplicador</v>
      </c>
      <c r="D78" s="73" t="str">
        <f aca="false">Inputs!$E$79</f>
        <v>VERIFICADO</v>
      </c>
      <c r="E78" s="73" t="str">
        <f aca="false">Inputs!$F$79</f>
        <v>10-financiero/modelo.js</v>
      </c>
      <c r="F78" s="73" t="str">
        <f aca="false">Inputs!$G$79</f>
        <v>Identidad.</v>
      </c>
    </row>
    <row r="79" customFormat="false" ht="12.8" hidden="false" customHeight="false" outlineLevel="0" collapsed="false">
      <c r="A79" s="71" t="str">
        <f aca="false">Inputs!$B$80</f>
        <v>Optimista: precio</v>
      </c>
      <c r="B79" s="78" t="n">
        <f aca="false">Inputs!$C$80</f>
        <v>1.2</v>
      </c>
      <c r="C79" s="71" t="str">
        <f aca="false">Inputs!$D$80</f>
        <v>multiplicador sobre el precio base</v>
      </c>
      <c r="D79" s="71" t="str">
        <f aca="false">Inputs!$E$80</f>
        <v>ESTIMADO</v>
      </c>
      <c r="E79" s="71" t="str">
        <f aca="false">Inputs!$F$80</f>
        <v>02-competencia/index.html</v>
      </c>
      <c r="F79" s="71" t="str">
        <f aca="false">Inputs!$G$80</f>
        <v>Ancla: pizza familiar foodservice publicada a $5.034 netos (Meta Food, Santiago). 5.034 ÷ 4.200 = 1,199. Límite: ese precio no incluye flete a Temuco ni prueba disposición a pagar del canal local.</v>
      </c>
    </row>
    <row r="80" customFormat="false" ht="12.8" hidden="false" customHeight="false" outlineLevel="0" collapsed="false">
      <c r="A80" s="73" t="str">
        <f aca="false">Inputs!$B$81</f>
        <v>Optimista: volumen</v>
      </c>
      <c r="B80" s="76" t="n">
        <f aca="false">Inputs!$C$81</f>
        <v>1</v>
      </c>
      <c r="C80" s="73" t="str">
        <f aca="false">Inputs!$D$81</f>
        <v>multiplicador</v>
      </c>
      <c r="D80" s="73" t="str">
        <f aca="false">Inputs!$E$81</f>
        <v>PENDIENTE</v>
      </c>
      <c r="E80" s="73" t="str">
        <f aca="false">Inputs!$F$81</f>
        <v>datos/supuestos.json#escenarios.volumen_optimista_factor</v>
      </c>
      <c r="F80" s="73" t="str">
        <f aca="false">Inputs!$G$81</f>
        <v>SIN ANCLA — la etapa 12 no publicó banda para esta variable. Entra neutro (1,00) para no fabricar un escenario. Misma fórmula. Debe además quedar acotado por produccion.capacidad_instalada_pizzas_dia; hoy esa restricción no muerde porque la etapa 04 no la publicó.</v>
      </c>
    </row>
    <row r="81" customFormat="false" ht="12.8" hidden="false" customHeight="false" outlineLevel="0" collapsed="false">
      <c r="A81" s="71" t="str">
        <f aca="false">Inputs!$B$82</f>
        <v>Optimista: costo variable</v>
      </c>
      <c r="B81" s="77" t="n">
        <f aca="false">Inputs!$C$82</f>
        <v>1</v>
      </c>
      <c r="C81" s="71" t="str">
        <f aca="false">Inputs!$D$82</f>
        <v>multiplicador</v>
      </c>
      <c r="D81" s="71" t="str">
        <f aca="false">Inputs!$E$82</f>
        <v>PENDIENTE</v>
      </c>
      <c r="E81" s="71" t="str">
        <f aca="false">Inputs!$F$82</f>
        <v>datos/supuestos.json#escenarios.costo_variable_optimista_factor</v>
      </c>
      <c r="F81" s="71" t="str">
        <f aca="false">Inputs!$G$82</f>
        <v>SIN ANCLA — la etapa 12 no publicó banda para esta variable. Entra neutro (1,00) para no fabricar un escenario. Debe salir del descuento por escalón de volumen que entregue la etapa 06, no de un supuesto.</v>
      </c>
    </row>
    <row r="82" customFormat="false" ht="12.8" hidden="false" customHeight="false" outlineLevel="0" collapsed="false">
      <c r="A82" s="73" t="str">
        <f aca="false">Inputs!$B$83</f>
        <v>Optimista: costo fijo</v>
      </c>
      <c r="B82" s="76" t="n">
        <f aca="false">Inputs!$C$83</f>
        <v>1</v>
      </c>
      <c r="C82" s="73" t="str">
        <f aca="false">Inputs!$D$83</f>
        <v>multiplicador</v>
      </c>
      <c r="D82" s="73" t="str">
        <f aca="false">Inputs!$E$83</f>
        <v>PENDIENTE</v>
      </c>
      <c r="E82" s="73" t="str">
        <f aca="false">Inputs!$F$83</f>
        <v>datos/supuestos.json#escenarios.costo_fijo_optimista_factor</v>
      </c>
      <c r="F82" s="73" t="str">
        <f aca="false">Inputs!$G$83</f>
        <v>SIN ANCLA — la etapa 12 no publicó banda para esta variable. Entra neutro (1,00) para no fabricar un escenario. No se propone un factor menor a 1: el costo fijo del caso base ya asume una dotación mínima sin verificar.</v>
      </c>
    </row>
    <row r="83" customFormat="false" ht="12.8" hidden="false" customHeight="false" outlineLevel="0" collapsed="false">
      <c r="A83" s="71" t="str">
        <f aca="false">Inputs!$B$84</f>
        <v>Optimista: CAPEX</v>
      </c>
      <c r="B83" s="78" t="n">
        <f aca="false">Inputs!$C$84</f>
        <v>0.8</v>
      </c>
      <c r="C83" s="71" t="str">
        <f aca="false">Inputs!$D$84</f>
        <v>multiplicador sobre equipos y habilitación</v>
      </c>
      <c r="D83" s="71" t="str">
        <f aca="false">Inputs!$E$84</f>
        <v>ESTIMADO</v>
      </c>
      <c r="E83" s="71" t="str">
        <f aca="false">Inputs!$F$84</f>
        <v>AACE International 18R-97 (rev. 01-03-2016), Tabla 1 — https://services.austintexas.gov/edims/document.cfm?id=280770</v>
      </c>
      <c r="F83" s="71" t="str">
        <f aca="false">Inputs!$G$84</f>
        <v>Extremo estrecho de la banda baja de Clase 5 (−20% a −50%). Consecuencia: CAPEX $22.869.227 y fondeo máximo $41.590.138. Simetría falsa: la banda de AACE es asimétrica hacia arriba y así debe leerse.</v>
      </c>
    </row>
    <row r="84" customFormat="false" ht="12.8" hidden="false" customHeight="false" outlineLevel="0" collapsed="false">
      <c r="A84" s="73" t="str">
        <f aca="false">Inputs!$B$85</f>
        <v>Sensibilidad: precio bajo</v>
      </c>
      <c r="B84" s="79" t="n">
        <f aca="false">Inputs!$C$85</f>
        <v>0.72</v>
      </c>
      <c r="C84" s="73" t="str">
        <f aca="false">Inputs!$D$85</f>
        <v>multiplicador sobre el precio base</v>
      </c>
      <c r="D84" s="73" t="str">
        <f aca="false">Inputs!$E$85</f>
        <v>ESTIMADO</v>
      </c>
      <c r="E84" s="73" t="str">
        <f aca="false">Inputs!$F$85</f>
        <v>02-competencia/index.html</v>
      </c>
      <c r="F84" s="73" t="str">
        <f aca="false">Inputs!$G$85</f>
        <v>Ancla: PF Listo familiar en promoción, $3.017 netos, precio retail regional observado en Temuco. 3.017 ÷ 4.200 = 0,718. Es un escenario definido, no un pronóstico. Consecuencia: la contribución unitaria cae de $1.547 a $364 contra un costo fijo anual de $50.969.179; VAN −$147.746.510. Recalcular si cambia precios.precio_venta_b2b_familiar_clp.</v>
      </c>
    </row>
    <row r="85" customFormat="false" ht="12.8" hidden="false" customHeight="false" outlineLevel="0" collapsed="false">
      <c r="A85" s="71" t="str">
        <f aca="false">Inputs!$B$86</f>
        <v>Sensibilidad: precio alto</v>
      </c>
      <c r="B85" s="78" t="n">
        <f aca="false">Inputs!$C$86</f>
        <v>1.2</v>
      </c>
      <c r="C85" s="71" t="str">
        <f aca="false">Inputs!$D$86</f>
        <v>multiplicador sobre el precio base</v>
      </c>
      <c r="D85" s="71" t="str">
        <f aca="false">Inputs!$E$86</f>
        <v>ESTIMADO</v>
      </c>
      <c r="E85" s="71" t="str">
        <f aca="false">Inputs!$F$86</f>
        <v>02-competencia/index.html</v>
      </c>
      <c r="F85" s="71" t="str">
        <f aca="false">Inputs!$G$86</f>
        <v>Ancla: pizza familiar foodservice publicada a $5.034 netos (Meta Food, Santiago). 5.034 ÷ 4.200 = 1,199. Límite: ese precio no incluye flete a Temuco ni prueba disposición a pagar del canal local.</v>
      </c>
    </row>
    <row r="86" customFormat="false" ht="12.8" hidden="false" customHeight="false" outlineLevel="0" collapsed="false">
      <c r="A86" s="73" t="str">
        <f aca="false">Inputs!$B$87</f>
        <v>Sensibilidad: volumen bajo</v>
      </c>
      <c r="B86" s="76" t="n">
        <f aca="false">Inputs!$C$87</f>
        <v>1</v>
      </c>
      <c r="C86" s="73" t="str">
        <f aca="false">Inputs!$D$87</f>
        <v>multiplicador</v>
      </c>
      <c r="D86" s="73" t="str">
        <f aca="false">Inputs!$E$87</f>
        <v>PENDIENTE</v>
      </c>
      <c r="E86" s="73" t="str">
        <f aca="false">Inputs!$F$87</f>
        <v>datos/supuestos.json#escenarios.volumen_pesimista_factor</v>
      </c>
      <c r="F86" s="73" t="str">
        <f aca="false">Inputs!$G$87</f>
        <v>SIN ANCLA — eje neutro mientras la etapa 12 no publique banda.</v>
      </c>
    </row>
    <row r="87" customFormat="false" ht="12.8" hidden="false" customHeight="false" outlineLevel="0" collapsed="false">
      <c r="A87" s="71" t="str">
        <f aca="false">Inputs!$B$88</f>
        <v>Sensibilidad: volumen alto</v>
      </c>
      <c r="B87" s="77" t="n">
        <f aca="false">Inputs!$C$88</f>
        <v>1</v>
      </c>
      <c r="C87" s="71" t="str">
        <f aca="false">Inputs!$D$88</f>
        <v>multiplicador</v>
      </c>
      <c r="D87" s="71" t="str">
        <f aca="false">Inputs!$E$88</f>
        <v>PENDIENTE</v>
      </c>
      <c r="E87" s="71" t="str">
        <f aca="false">Inputs!$F$88</f>
        <v>datos/supuestos.json#escenarios.volumen_optimista_factor</v>
      </c>
      <c r="F87" s="71" t="str">
        <f aca="false">Inputs!$G$88</f>
        <v>SIN ANCLA — eje neutro mientras la etapa 12 no publique banda.</v>
      </c>
    </row>
  </sheetData>
  <sheetProtection sheet="true" objects="true" scenarios="true"/>
  <mergeCells count="2">
    <mergeCell ref="A1:G1"/>
    <mergeCell ref="A2:G2"/>
  </mergeCells>
  <printOptions headings="false" gridLines="false" gridLinesSet="true" horizontalCentered="false" verticalCentered="false"/>
  <pageMargins left="0.354166666666667" right="0.354166666666667" top="0.354166666666667" bottom="0.354166666666667"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G7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9.62"/>
    <col collapsed="false" customWidth="true" hidden="false" outlineLevel="0" max="7" min="2" style="0" width="15.32"/>
  </cols>
  <sheetData>
    <row r="1" customFormat="false" ht="25.5" hidden="false" customHeight="true" outlineLevel="0" collapsed="false">
      <c r="A1" s="1" t="s">
        <v>346</v>
      </c>
      <c r="B1" s="1"/>
      <c r="C1" s="1"/>
      <c r="D1" s="1"/>
      <c r="E1" s="1"/>
      <c r="F1" s="1"/>
      <c r="G1" s="1"/>
    </row>
    <row r="2" customFormat="false" ht="18.45" hidden="false" customHeight="true" outlineLevel="0" collapsed="false">
      <c r="A2" s="2" t="s">
        <v>347</v>
      </c>
      <c r="B2" s="2"/>
      <c r="C2" s="2"/>
      <c r="D2" s="2"/>
      <c r="E2" s="2"/>
      <c r="F2" s="2"/>
      <c r="G2" s="2"/>
    </row>
    <row r="4" customFormat="false" ht="12.8" hidden="false" customHeight="false" outlineLevel="0" collapsed="false">
      <c r="A4" s="81" t="s">
        <v>40</v>
      </c>
      <c r="B4" s="81"/>
      <c r="C4" s="81"/>
      <c r="D4" s="81"/>
      <c r="E4" s="81"/>
      <c r="F4" s="81"/>
      <c r="G4" s="81"/>
    </row>
    <row r="5" customFormat="false" ht="12.8" hidden="false" customHeight="false" outlineLevel="0" collapsed="false">
      <c r="A5" s="0" t="s">
        <v>316</v>
      </c>
      <c r="B5" s="82" t="n">
        <f aca="false">IF(Inputs!$C$5="Pesimista",Inputs!$C$70,IF(Inputs!$C$5="Optimista",Inputs!$C$80,Inputs!$C$75))</f>
        <v>1</v>
      </c>
    </row>
    <row r="6" customFormat="false" ht="12.8" hidden="false" customHeight="false" outlineLevel="0" collapsed="false">
      <c r="A6" s="0" t="s">
        <v>315</v>
      </c>
      <c r="B6" s="82" t="n">
        <f aca="false">IF(Inputs!$C$5="Pesimista",Inputs!$C$71,IF(Inputs!$C$5="Optimista",Inputs!$C$81,Inputs!$C$76))</f>
        <v>1</v>
      </c>
    </row>
    <row r="7" customFormat="false" ht="12.8" hidden="false" customHeight="false" outlineLevel="0" collapsed="false">
      <c r="A7" s="0" t="s">
        <v>348</v>
      </c>
      <c r="B7" s="82" t="n">
        <f aca="false">IF(Inputs!$C$5="Pesimista",Inputs!$C$72,IF(Inputs!$C$5="Optimista",Inputs!$C$82,Inputs!$C$77))</f>
        <v>1</v>
      </c>
    </row>
    <row r="8" customFormat="false" ht="12.8" hidden="false" customHeight="false" outlineLevel="0" collapsed="false">
      <c r="A8" s="0" t="s">
        <v>349</v>
      </c>
      <c r="B8" s="82" t="n">
        <f aca="false">IF(Inputs!$C$5="Pesimista",Inputs!$C$73,IF(Inputs!$C$5="Optimista",Inputs!$C$83,Inputs!$C$78))</f>
        <v>1</v>
      </c>
    </row>
    <row r="9" customFormat="false" ht="12.8" hidden="false" customHeight="false" outlineLevel="0" collapsed="false">
      <c r="A9" s="0" t="s">
        <v>350</v>
      </c>
      <c r="B9" s="82" t="n">
        <f aca="false">IF(Inputs!$C$5="Pesimista",Inputs!$C$74,IF(Inputs!$C$5="Optimista",Inputs!$C$84,Inputs!$C$79))</f>
        <v>1</v>
      </c>
    </row>
    <row r="11" customFormat="false" ht="12.8" hidden="false" customHeight="false" outlineLevel="0" collapsed="false">
      <c r="A11" s="0" t="s">
        <v>351</v>
      </c>
      <c r="B11" s="83" t="n">
        <f aca="false">IF(Inputs!$C$61&gt;0,Inputs!$C$61,Inputs!$C$53+Inputs!$C$54+Inputs!$C$55+Inputs!$C$56+Inputs!$C$57+Inputs!$C$58+Inputs!$C$59+Inputs!$C$60)</f>
        <v>10120237</v>
      </c>
    </row>
    <row r="12" customFormat="false" ht="12.8" hidden="false" customHeight="false" outlineLevel="0" collapsed="false">
      <c r="A12" s="0" t="s">
        <v>352</v>
      </c>
      <c r="B12" s="83" t="n">
        <f aca="false">Calculos!$B$11*Inputs!$C$62</f>
        <v>1518035.55</v>
      </c>
    </row>
    <row r="13" customFormat="false" ht="12.8" hidden="false" customHeight="false" outlineLevel="0" collapsed="false">
      <c r="A13" s="0" t="s">
        <v>353</v>
      </c>
      <c r="B13" s="83" t="n">
        <f aca="false">IF(Inputs!$C$39&gt;0,Inputs!$C$39,Inputs!$C$37*Inputs!$C$38)</f>
        <v>759720</v>
      </c>
    </row>
    <row r="14" customFormat="false" ht="12.8" hidden="false" customHeight="false" outlineLevel="0" collapsed="false">
      <c r="A14" s="0" t="s">
        <v>354</v>
      </c>
      <c r="B14" s="83" t="n">
        <f aca="false">((Inputs!$C$26*Inputs!$C$34+Inputs!$C$27*Inputs!$C$35+Inputs!$C$28*Inputs!$C$36+Inputs!$C$29)*(1+Inputs!$C$33)+Inputs!$C$30+Inputs!$C$31+Inputs!$C$32)</f>
        <v>2433.274</v>
      </c>
    </row>
    <row r="15" customFormat="false" ht="12.8" hidden="false" customHeight="false" outlineLevel="0" collapsed="false">
      <c r="A15" s="0" t="s">
        <v>355</v>
      </c>
      <c r="B15" s="83" t="n">
        <f aca="false">(Calculos!$B$13+IF(Inputs!$C$50&gt;0,Inputs!$C$50,Inputs!$C$40*Inputs!$C$41)+Inputs!$C$42+Inputs!$C$43+Inputs!$C$44+Inputs!$C$45+Inputs!$C$46)</f>
        <v>3833550</v>
      </c>
    </row>
    <row r="16" customFormat="false" ht="12.8" hidden="false" customHeight="false" outlineLevel="0" collapsed="false">
      <c r="A16" s="0" t="s">
        <v>356</v>
      </c>
      <c r="B16" s="83" t="n">
        <f aca="false">(Calculos!$B$11+Calculos!$B$12+Inputs!$C$63)*(1+Inputs!$C$66)*Calculos!$B$9</f>
        <v>27184013.4325</v>
      </c>
    </row>
    <row r="17" customFormat="false" ht="12.8" hidden="false" customHeight="false" outlineLevel="0" collapsed="false">
      <c r="A17" s="0" t="s">
        <v>357</v>
      </c>
      <c r="B17" s="83" t="n">
        <f aca="false">Calculos!$B$16+(Inputs!$C$64+Inputs!$C$65)*Calculos!$B$9</f>
        <v>29684013.4325</v>
      </c>
    </row>
    <row r="18" customFormat="false" ht="12.8" hidden="false" customHeight="false" outlineLevel="0" collapsed="false">
      <c r="A18" s="0" t="s">
        <v>358</v>
      </c>
      <c r="B18" s="83" t="n">
        <f aca="false">Calculos!$B$16/Inputs!$C$68</f>
        <v>2718401.34325</v>
      </c>
    </row>
    <row r="19" customFormat="false" ht="12.8" hidden="false" customHeight="false" outlineLevel="0" collapsed="false">
      <c r="A19" s="0" t="s">
        <v>359</v>
      </c>
      <c r="B19" s="83" t="n">
        <f aca="false">Calculos!$B$16*Inputs!$C$69</f>
        <v>2718401.34325</v>
      </c>
    </row>
    <row r="20" customFormat="false" ht="12.8" hidden="false" customHeight="false" outlineLevel="0" collapsed="false">
      <c r="A20" s="0" t="s">
        <v>360</v>
      </c>
      <c r="B20" s="83" t="n">
        <f aca="false">Calculos!$B$13*Inputs!$C$67</f>
        <v>1519440</v>
      </c>
    </row>
    <row r="22" customFormat="false" ht="18.45" hidden="false" customHeight="true" outlineLevel="0" collapsed="false">
      <c r="A22" s="45" t="s">
        <v>294</v>
      </c>
      <c r="B22" s="45" t="s">
        <v>309</v>
      </c>
      <c r="C22" s="45" t="s">
        <v>310</v>
      </c>
      <c r="D22" s="45" t="s">
        <v>311</v>
      </c>
      <c r="E22" s="45" t="s">
        <v>312</v>
      </c>
      <c r="F22" s="45" t="s">
        <v>313</v>
      </c>
      <c r="G22" s="45" t="s">
        <v>314</v>
      </c>
    </row>
    <row r="23" customFormat="false" ht="12.8" hidden="false" customHeight="false" outlineLevel="0" collapsed="false">
      <c r="A23" s="0" t="s">
        <v>315</v>
      </c>
      <c r="C23" s="0" t="n">
        <f aca="false">IF(AND(Inputs!$C$51&gt;0,Inputs!$C$52&gt;0),MIN((IF(Inputs!$C$11&gt;0,Inputs!$C$11*12,Inputs!$C$12))*Calculos!$B$6,Inputs!$C$51*Inputs!$C$52*12),(IF(Inputs!$C$11&gt;0,Inputs!$C$11*12,Inputs!$C$12))*Calculos!$B$6)</f>
        <v>15840</v>
      </c>
      <c r="D23" s="0" t="n">
        <f aca="false">IF(AND(Inputs!$C$51&gt;0,Inputs!$C$52&gt;0),MIN((IF(Inputs!$C$11&gt;0,Inputs!$C$11*12,Inputs!$C$12)*IF(Inputs!$C$17&gt;0,Inputs!$C$17,Inputs!$C$13/Inputs!$C$12))*Calculos!$B$6,Inputs!$C$51*Inputs!$C$52*12),(IF(Inputs!$C$11&gt;0,Inputs!$C$11*12,Inputs!$C$12)*IF(Inputs!$C$17&gt;0,Inputs!$C$17,Inputs!$C$13/Inputs!$C$12))*Calculos!$B$6)</f>
        <v>15840</v>
      </c>
      <c r="E23" s="0" t="n">
        <f aca="false">IF(AND(Inputs!$C$51&gt;0,Inputs!$C$52&gt;0),MIN((IF(Inputs!$C$11&gt;0,Inputs!$C$11*12,Inputs!$C$12)*IF(Inputs!$C$18&gt;0,Inputs!$C$18,Inputs!$C$14/Inputs!$C$12))*Calculos!$B$6,Inputs!$C$51*Inputs!$C$52*12),(IF(Inputs!$C$11&gt;0,Inputs!$C$11*12,Inputs!$C$12)*IF(Inputs!$C$18&gt;0,Inputs!$C$18,Inputs!$C$14/Inputs!$C$12))*Calculos!$B$6)</f>
        <v>15840</v>
      </c>
      <c r="F23" s="0" t="n">
        <f aca="false">IF(AND(Inputs!$C$51&gt;0,Inputs!$C$52&gt;0),MIN((IF(Inputs!$C$11&gt;0,Inputs!$C$11*12,Inputs!$C$12)*IF(Inputs!$C$19&gt;0,Inputs!$C$19,Inputs!$C$15/Inputs!$C$12))*Calculos!$B$6,Inputs!$C$51*Inputs!$C$52*12),(IF(Inputs!$C$11&gt;0,Inputs!$C$11*12,Inputs!$C$12)*IF(Inputs!$C$19&gt;0,Inputs!$C$19,Inputs!$C$15/Inputs!$C$12))*Calculos!$B$6)</f>
        <v>15840</v>
      </c>
      <c r="G23" s="0" t="n">
        <f aca="false">IF(AND(Inputs!$C$51&gt;0,Inputs!$C$52&gt;0),MIN((IF(Inputs!$C$11&gt;0,Inputs!$C$11*12,Inputs!$C$12)*IF(Inputs!$C$20&gt;0,Inputs!$C$20,Inputs!$C$16/Inputs!$C$12))*Calculos!$B$6,Inputs!$C$51*Inputs!$C$52*12),(IF(Inputs!$C$11&gt;0,Inputs!$C$11*12,Inputs!$C$12)*IF(Inputs!$C$20&gt;0,Inputs!$C$20,Inputs!$C$16/Inputs!$C$12))*Calculos!$B$6)</f>
        <v>15840</v>
      </c>
    </row>
    <row r="24" customFormat="false" ht="12.8" hidden="false" customHeight="false" outlineLevel="0" collapsed="false">
      <c r="A24" s="0" t="s">
        <v>361</v>
      </c>
      <c r="C24" s="0" t="n">
        <f aca="false">(1+Inputs!$C$7)^1</f>
        <v>1.03</v>
      </c>
      <c r="D24" s="0" t="n">
        <f aca="false">(1+Inputs!$C$7)^2</f>
        <v>1.0609</v>
      </c>
      <c r="E24" s="0" t="n">
        <f aca="false">(1+Inputs!$C$7)^3</f>
        <v>1.092727</v>
      </c>
      <c r="F24" s="0" t="n">
        <f aca="false">(1+Inputs!$C$7)^4</f>
        <v>1.12550881</v>
      </c>
      <c r="G24" s="0" t="n">
        <f aca="false">(1+Inputs!$C$7)^5</f>
        <v>1.1592740743</v>
      </c>
    </row>
    <row r="25" customFormat="false" ht="12.8" hidden="false" customHeight="false" outlineLevel="0" collapsed="false">
      <c r="A25" s="0" t="s">
        <v>316</v>
      </c>
      <c r="B25" s="83"/>
      <c r="C25" s="83" t="n">
        <f aca="false">Inputs!$C$10*Calculos!$B$5*Calculos!$C$24</f>
        <v>4326</v>
      </c>
      <c r="D25" s="83" t="n">
        <f aca="false">Inputs!$C$10*Calculos!$B$5*Calculos!$D$24</f>
        <v>4455.78</v>
      </c>
      <c r="E25" s="83" t="n">
        <f aca="false">Inputs!$C$10*Calculos!$B$5*Calculos!$E$24</f>
        <v>4589.4534</v>
      </c>
      <c r="F25" s="83" t="n">
        <f aca="false">Inputs!$C$10*Calculos!$B$5*Calculos!$F$24</f>
        <v>4727.137002</v>
      </c>
      <c r="G25" s="83" t="n">
        <f aca="false">Inputs!$C$10*Calculos!$B$5*Calculos!$G$24</f>
        <v>4868.95111206</v>
      </c>
    </row>
    <row r="26" customFormat="false" ht="12.8" hidden="false" customHeight="false" outlineLevel="0" collapsed="false">
      <c r="A26" s="0" t="s">
        <v>362</v>
      </c>
      <c r="B26" s="83"/>
      <c r="C26" s="83" t="n">
        <f aca="false">Calculos!$B$14*Calculos!$B$7*Calculos!$C$24</f>
        <v>2506.27222</v>
      </c>
      <c r="D26" s="83" t="n">
        <f aca="false">Calculos!$B$14*Calculos!$B$7*Calculos!$D$24</f>
        <v>2581.4603866</v>
      </c>
      <c r="E26" s="83" t="n">
        <f aca="false">Calculos!$B$14*Calculos!$B$7*Calculos!$E$24</f>
        <v>2658.904198198</v>
      </c>
      <c r="F26" s="83" t="n">
        <f aca="false">Calculos!$B$14*Calculos!$B$7*Calculos!$F$24</f>
        <v>2738.67132414394</v>
      </c>
      <c r="G26" s="83" t="n">
        <f aca="false">Calculos!$B$14*Calculos!$B$7*Calculos!$G$24</f>
        <v>2820.83146386826</v>
      </c>
    </row>
    <row r="27" customFormat="false" ht="12.8" hidden="false" customHeight="false" outlineLevel="0" collapsed="false">
      <c r="A27" s="0" t="s">
        <v>317</v>
      </c>
      <c r="B27" s="83"/>
      <c r="C27" s="83" t="n">
        <f aca="false">Calculos!$C$23*Calculos!$C$25</f>
        <v>68523840</v>
      </c>
      <c r="D27" s="83" t="n">
        <f aca="false">Calculos!$D$23*Calculos!$D$25</f>
        <v>70579555.2</v>
      </c>
      <c r="E27" s="83" t="n">
        <f aca="false">Calculos!$E$23*Calculos!$E$25</f>
        <v>72696941.856</v>
      </c>
      <c r="F27" s="83" t="n">
        <f aca="false">Calculos!$F$23*Calculos!$F$25</f>
        <v>74877850.11168</v>
      </c>
      <c r="G27" s="83" t="n">
        <f aca="false">Calculos!$G$23*Calculos!$G$25</f>
        <v>77124185.6150304</v>
      </c>
    </row>
    <row r="28" customFormat="false" ht="12.8" hidden="false" customHeight="false" outlineLevel="0" collapsed="false">
      <c r="A28" s="0" t="s">
        <v>318</v>
      </c>
      <c r="B28" s="83"/>
      <c r="C28" s="83" t="n">
        <f aca="false">Calculos!$C$23*Calculos!$C$26</f>
        <v>39699351.9648</v>
      </c>
      <c r="D28" s="83" t="n">
        <f aca="false">Calculos!$D$23*Calculos!$D$26</f>
        <v>40890332.523744</v>
      </c>
      <c r="E28" s="83" t="n">
        <f aca="false">Calculos!$E$23*Calculos!$E$26</f>
        <v>42117042.4994563</v>
      </c>
      <c r="F28" s="83" t="n">
        <f aca="false">Calculos!$F$23*Calculos!$F$26</f>
        <v>43380553.77444</v>
      </c>
      <c r="G28" s="83" t="n">
        <f aca="false">Calculos!$G$23*Calculos!$G$26</f>
        <v>44681970.3876732</v>
      </c>
    </row>
    <row r="29" customFormat="false" ht="12.8" hidden="false" customHeight="false" outlineLevel="0" collapsed="false">
      <c r="A29" s="0" t="s">
        <v>319</v>
      </c>
      <c r="B29" s="83"/>
      <c r="C29" s="83" t="n">
        <f aca="false">Calculos!$B$15*12*Calculos!$B$8*Calculos!$C$24</f>
        <v>47382678</v>
      </c>
      <c r="D29" s="83" t="n">
        <f aca="false">Calculos!$B$15*12*Calculos!$B$8*Calculos!$D$24</f>
        <v>48804158.34</v>
      </c>
      <c r="E29" s="83" t="n">
        <f aca="false">Calculos!$B$15*12*Calculos!$B$8*Calculos!$E$24</f>
        <v>50268283.0902</v>
      </c>
      <c r="F29" s="83" t="n">
        <f aca="false">Calculos!$B$15*12*Calculos!$B$8*Calculos!$F$24</f>
        <v>51776331.582906</v>
      </c>
      <c r="G29" s="83" t="n">
        <f aca="false">Calculos!$B$15*12*Calculos!$B$8*Calculos!$G$24</f>
        <v>53329621.5303932</v>
      </c>
    </row>
    <row r="30" customFormat="false" ht="12.8" hidden="false" customHeight="false" outlineLevel="0" collapsed="false">
      <c r="A30" s="0" t="s">
        <v>320</v>
      </c>
      <c r="B30" s="83"/>
      <c r="C30" s="83" t="n">
        <f aca="false">Calculos!$C$27-Calculos!$C$28-Calculos!$C$29</f>
        <v>-18558189.9648</v>
      </c>
      <c r="D30" s="83" t="n">
        <f aca="false">Calculos!$D$27-Calculos!$D$28-Calculos!$D$29</f>
        <v>-19114935.663744</v>
      </c>
      <c r="E30" s="83" t="n">
        <f aca="false">Calculos!$E$27-Calculos!$E$28-Calculos!$E$29</f>
        <v>-19688383.7336563</v>
      </c>
      <c r="F30" s="83" t="n">
        <f aca="false">Calculos!$F$27-Calculos!$F$28-Calculos!$F$29</f>
        <v>-20279035.245666</v>
      </c>
      <c r="G30" s="83" t="n">
        <f aca="false">Calculos!$G$27-Calculos!$G$28-Calculos!$G$29</f>
        <v>-20887406.303036</v>
      </c>
    </row>
    <row r="31" customFormat="false" ht="12.8" hidden="false" customHeight="false" outlineLevel="0" collapsed="false">
      <c r="A31" s="0" t="s">
        <v>321</v>
      </c>
      <c r="B31" s="83"/>
      <c r="C31" s="83" t="n">
        <f aca="false">Calculos!$B$18</f>
        <v>2718401.34325</v>
      </c>
      <c r="D31" s="83" t="n">
        <f aca="false">Calculos!$B$18</f>
        <v>2718401.34325</v>
      </c>
      <c r="E31" s="83" t="n">
        <f aca="false">Calculos!$B$18</f>
        <v>2718401.34325</v>
      </c>
      <c r="F31" s="83" t="n">
        <f aca="false">Calculos!$B$18</f>
        <v>2718401.34325</v>
      </c>
      <c r="G31" s="83" t="n">
        <f aca="false">Calculos!$B$18</f>
        <v>2718401.34325</v>
      </c>
    </row>
    <row r="32" customFormat="false" ht="12.8" hidden="false" customHeight="false" outlineLevel="0" collapsed="false">
      <c r="A32" s="0" t="s">
        <v>322</v>
      </c>
      <c r="B32" s="83"/>
      <c r="C32" s="83" t="n">
        <f aca="false">Calculos!$C$30-Calculos!$C$31</f>
        <v>-21276591.30805</v>
      </c>
      <c r="D32" s="83" t="n">
        <f aca="false">Calculos!$D$30-Calculos!$D$31</f>
        <v>-21833337.006994</v>
      </c>
      <c r="E32" s="83" t="n">
        <f aca="false">Calculos!$E$30-Calculos!$E$31</f>
        <v>-22406785.0769063</v>
      </c>
      <c r="F32" s="83" t="n">
        <f aca="false">Calculos!$F$30-Calculos!$F$31</f>
        <v>-22997436.588916</v>
      </c>
      <c r="G32" s="83" t="n">
        <f aca="false">Calculos!$G$30-Calculos!$G$31</f>
        <v>-23605807.646286</v>
      </c>
    </row>
    <row r="33" customFormat="false" ht="12.8" hidden="false" customHeight="false" outlineLevel="0" collapsed="false">
      <c r="A33" s="0" t="s">
        <v>323</v>
      </c>
      <c r="B33" s="83"/>
      <c r="C33" s="83" t="n">
        <f aca="false">0</f>
        <v>0</v>
      </c>
      <c r="D33" s="83" t="n">
        <f aca="false">Calculos!$C$36</f>
        <v>21276591.30805</v>
      </c>
      <c r="E33" s="83" t="n">
        <f aca="false">Calculos!$D$36</f>
        <v>43109928.315044</v>
      </c>
      <c r="F33" s="83" t="n">
        <f aca="false">Calculos!$E$36</f>
        <v>65516713.3919503</v>
      </c>
      <c r="G33" s="83" t="n">
        <f aca="false">Calculos!$F$36</f>
        <v>88514149.9808663</v>
      </c>
    </row>
    <row r="34" customFormat="false" ht="12.8" hidden="false" customHeight="false" outlineLevel="0" collapsed="false">
      <c r="A34" s="0" t="s">
        <v>324</v>
      </c>
      <c r="B34" s="83"/>
      <c r="C34" s="83" t="n">
        <f aca="false">MAX(0,Calculos!$C$32-Calculos!$C$33)</f>
        <v>0</v>
      </c>
      <c r="D34" s="83" t="n">
        <f aca="false">MAX(0,Calculos!$D$32-Calculos!$D$33)</f>
        <v>0</v>
      </c>
      <c r="E34" s="83" t="n">
        <f aca="false">MAX(0,Calculos!$E$32-Calculos!$E$33)</f>
        <v>0</v>
      </c>
      <c r="F34" s="83" t="n">
        <f aca="false">MAX(0,Calculos!$F$32-Calculos!$F$33)</f>
        <v>0</v>
      </c>
      <c r="G34" s="83" t="n">
        <f aca="false">MAX(0,Calculos!$G$32-Calculos!$G$33)</f>
        <v>0</v>
      </c>
    </row>
    <row r="35" customFormat="false" ht="12.8" hidden="false" customHeight="false" outlineLevel="0" collapsed="false">
      <c r="A35" s="0" t="s">
        <v>325</v>
      </c>
      <c r="B35" s="83"/>
      <c r="C35" s="83" t="n">
        <f aca="false">Calculos!$C$34*Inputs!$C$21</f>
        <v>0</v>
      </c>
      <c r="D35" s="83" t="n">
        <f aca="false">Calculos!$D$34*Inputs!$C$22</f>
        <v>0</v>
      </c>
      <c r="E35" s="83" t="n">
        <f aca="false">Calculos!$E$34*Inputs!$C$23</f>
        <v>0</v>
      </c>
      <c r="F35" s="83" t="n">
        <f aca="false">Calculos!$F$34*Inputs!$C$24</f>
        <v>0</v>
      </c>
      <c r="G35" s="83" t="n">
        <f aca="false">Calculos!$G$34*Inputs!$C$25</f>
        <v>0</v>
      </c>
    </row>
    <row r="36" customFormat="false" ht="12.8" hidden="false" customHeight="false" outlineLevel="0" collapsed="false">
      <c r="A36" s="0" t="s">
        <v>326</v>
      </c>
      <c r="B36" s="83"/>
      <c r="C36" s="83" t="n">
        <f aca="false">MAX(0,Calculos!$C$33-Calculos!$C$32)</f>
        <v>21276591.30805</v>
      </c>
      <c r="D36" s="83" t="n">
        <f aca="false">MAX(0,Calculos!$D$33-Calculos!$D$32)</f>
        <v>43109928.315044</v>
      </c>
      <c r="E36" s="83" t="n">
        <f aca="false">MAX(0,Calculos!$E$33-Calculos!$E$32)</f>
        <v>65516713.3919503</v>
      </c>
      <c r="F36" s="83" t="n">
        <f aca="false">MAX(0,Calculos!$F$33-Calculos!$F$32)</f>
        <v>88514149.9808663</v>
      </c>
      <c r="G36" s="83" t="n">
        <f aca="false">MAX(0,Calculos!$G$33-Calculos!$G$32)</f>
        <v>112119957.627152</v>
      </c>
    </row>
    <row r="37" customFormat="false" ht="12.8" hidden="false" customHeight="false" outlineLevel="0" collapsed="false">
      <c r="A37" s="0" t="s">
        <v>327</v>
      </c>
      <c r="B37" s="83"/>
      <c r="C37" s="83" t="n">
        <f aca="false">Calculos!$C$27*Inputs!$C$47/365+Calculos!$C$28*Inputs!$C$48/365-Calculos!$C$28*Inputs!$C$49/365</f>
        <v>7263576.65608767</v>
      </c>
      <c r="D37" s="83" t="n">
        <f aca="false">Calculos!$D$27*Inputs!$C$47/365+Calculos!$D$28*Inputs!$C$48/365-Calculos!$D$28*Inputs!$C$49/365</f>
        <v>7481483.9557703</v>
      </c>
      <c r="E37" s="83" t="n">
        <f aca="false">Calculos!$E$27*Inputs!$C$47/365+Calculos!$E$28*Inputs!$C$48/365-Calculos!$E$28*Inputs!$C$49/365</f>
        <v>7705928.47444341</v>
      </c>
      <c r="F37" s="83" t="n">
        <f aca="false">Calculos!$F$27*Inputs!$C$47/365+Calculos!$F$28*Inputs!$C$48/365-Calculos!$F$28*Inputs!$C$49/365</f>
        <v>7937106.32867671</v>
      </c>
      <c r="G37" s="83" t="n">
        <f aca="false">Calculos!$G$27*Inputs!$C$47/365+Calculos!$G$28*Inputs!$C$48/365-Calculos!$G$28*Inputs!$C$49/365</f>
        <v>8175219.51853702</v>
      </c>
    </row>
    <row r="38" customFormat="false" ht="12.8" hidden="false" customHeight="false" outlineLevel="0" collapsed="false">
      <c r="A38" s="0" t="s">
        <v>328</v>
      </c>
      <c r="B38" s="83"/>
      <c r="C38" s="83" t="n">
        <f aca="false">Calculos!$C$37-Calculos!$C$37</f>
        <v>0</v>
      </c>
      <c r="D38" s="83" t="n">
        <f aca="false">Calculos!$D$37-Calculos!$C$37</f>
        <v>217907.299682629</v>
      </c>
      <c r="E38" s="83" t="n">
        <f aca="false">Calculos!$E$37-Calculos!$D$37</f>
        <v>224444.51867311</v>
      </c>
      <c r="F38" s="83" t="n">
        <f aca="false">Calculos!$F$37-Calculos!$E$37</f>
        <v>231177.854233301</v>
      </c>
      <c r="G38" s="83" t="n">
        <f aca="false">Calculos!$G$37-Calculos!$F$37</f>
        <v>238113.189860302</v>
      </c>
    </row>
    <row r="39" customFormat="false" ht="12.8" hidden="false" customHeight="false" outlineLevel="0" collapsed="false">
      <c r="A39" s="0" t="s">
        <v>329</v>
      </c>
      <c r="B39" s="83"/>
      <c r="C39" s="83" t="n">
        <f aca="false">0</f>
        <v>0</v>
      </c>
      <c r="D39" s="83" t="n">
        <f aca="false">0</f>
        <v>0</v>
      </c>
      <c r="E39" s="83" t="n">
        <f aca="false">0</f>
        <v>0</v>
      </c>
      <c r="F39" s="83" t="n">
        <f aca="false">0</f>
        <v>0</v>
      </c>
      <c r="G39" s="83" t="n">
        <f aca="false">Calculos!$B$19-MAX(0,(Calculos!$B$19-MAX(0,Calculos!$B$16-Calculos!$B$18*5)))*Inputs!$C$25+Calculos!$G$37+Calculos!$B$20</f>
        <v>12413060.861787</v>
      </c>
    </row>
    <row r="40" customFormat="false" ht="12.8" hidden="false" customHeight="false" outlineLevel="0" collapsed="false">
      <c r="A40" s="0" t="s">
        <v>330</v>
      </c>
      <c r="B40" s="83" t="n">
        <f aca="false">-(Calculos!$B$17+Calculos!$B$20+Calculos!$C$37)</f>
        <v>-38467030.0885877</v>
      </c>
      <c r="C40" s="83" t="n">
        <f aca="false">Calculos!$C$30-Calculos!$C$35-Calculos!$C$38+Calculos!$C$39</f>
        <v>-18558189.9648</v>
      </c>
      <c r="D40" s="83" t="n">
        <f aca="false">Calculos!$D$30-Calculos!$D$35-Calculos!$D$38+Calculos!$D$39</f>
        <v>-19332842.9634266</v>
      </c>
      <c r="E40" s="83" t="n">
        <f aca="false">Calculos!$E$30-Calculos!$E$35-Calculos!$E$38+Calculos!$E$39</f>
        <v>-19912828.2523294</v>
      </c>
      <c r="F40" s="83" t="n">
        <f aca="false">Calculos!$F$30-Calculos!$F$35-Calculos!$F$38+Calculos!$F$39</f>
        <v>-20510213.0998993</v>
      </c>
      <c r="G40" s="83" t="n">
        <f aca="false">Calculos!$G$30-Calculos!$G$35-Calculos!$G$38+Calculos!$G$39</f>
        <v>-8712458.63110929</v>
      </c>
    </row>
    <row r="41" customFormat="false" ht="12.8" hidden="false" customHeight="false" outlineLevel="0" collapsed="false">
      <c r="A41" s="0" t="s">
        <v>331</v>
      </c>
      <c r="B41" s="83" t="n">
        <v>1</v>
      </c>
      <c r="C41" s="83" t="n">
        <f aca="false">1/(1+Inputs!$C$6)^1</f>
        <v>0.830151087497925</v>
      </c>
      <c r="D41" s="83" t="n">
        <f aca="false">1/(1+Inputs!$C$6)^2</f>
        <v>0.689150828073987</v>
      </c>
      <c r="E41" s="83" t="n">
        <f aca="false">1/(1+Inputs!$C$6)^3</f>
        <v>0.572099309375715</v>
      </c>
      <c r="F41" s="83" t="n">
        <f aca="false">1/(1+Inputs!$C$6)^4</f>
        <v>0.474928863835062</v>
      </c>
      <c r="G41" s="83" t="n">
        <f aca="false">1/(1+Inputs!$C$6)^5</f>
        <v>0.39426271279683</v>
      </c>
    </row>
    <row r="42" customFormat="false" ht="12.8" hidden="false" customHeight="false" outlineLevel="0" collapsed="false">
      <c r="A42" s="0" t="s">
        <v>332</v>
      </c>
      <c r="B42" s="83" t="n">
        <f aca="false">Calculos!$B$40</f>
        <v>-38467030.0885877</v>
      </c>
      <c r="C42" s="83" t="n">
        <f aca="false">Calculos!$C$40*Calculos!$C$41</f>
        <v>-15406101.5812718</v>
      </c>
      <c r="D42" s="83" t="n">
        <f aca="false">Calculos!$D$40*Calculos!$D$41</f>
        <v>-13323244.7372698</v>
      </c>
      <c r="E42" s="83" t="n">
        <f aca="false">Calculos!$E$40*Calculos!$E$41</f>
        <v>-11392115.2908749</v>
      </c>
      <c r="F42" s="83" t="n">
        <f aca="false">Calculos!$F$40*Calculos!$F$41</f>
        <v>-9740892.20455019</v>
      </c>
      <c r="G42" s="83" t="n">
        <f aca="false">Calculos!$G$40*Calculos!$G$41</f>
        <v>-3434997.57503131</v>
      </c>
    </row>
    <row r="43" customFormat="false" ht="12.8" hidden="false" customHeight="false" outlineLevel="0" collapsed="false">
      <c r="A43" s="0" t="s">
        <v>333</v>
      </c>
      <c r="B43" s="83" t="n">
        <f aca="false">Calculos!$B$40</f>
        <v>-38467030.0885877</v>
      </c>
      <c r="C43" s="83" t="n">
        <f aca="false">Calculos!$B$43+Calculos!$C$40</f>
        <v>-57025220.0533877</v>
      </c>
      <c r="D43" s="83" t="n">
        <f aca="false">Calculos!$C$43+Calculos!$D$40</f>
        <v>-76358063.0168143</v>
      </c>
      <c r="E43" s="83" t="n">
        <f aca="false">Calculos!$D$43+Calculos!$E$40</f>
        <v>-96270891.2691437</v>
      </c>
      <c r="F43" s="83" t="n">
        <f aca="false">Calculos!$E$43+Calculos!$F$40</f>
        <v>-116781104.369043</v>
      </c>
      <c r="G43" s="83" t="n">
        <f aca="false">Calculos!$F$43+Calculos!$G$40</f>
        <v>-125493563.000152</v>
      </c>
    </row>
    <row r="44" customFormat="false" ht="12.8" hidden="false" customHeight="false" outlineLevel="0" collapsed="false">
      <c r="A44" s="0" t="s">
        <v>334</v>
      </c>
      <c r="B44" s="83" t="n">
        <f aca="false">Calculos!$B$42</f>
        <v>-38467030.0885877</v>
      </c>
      <c r="C44" s="83" t="n">
        <f aca="false">Calculos!$B$44+Calculos!$C$42</f>
        <v>-53873131.6698595</v>
      </c>
      <c r="D44" s="83" t="n">
        <f aca="false">Calculos!$C$44+Calculos!$D$42</f>
        <v>-67196376.4071293</v>
      </c>
      <c r="E44" s="83" t="n">
        <f aca="false">Calculos!$D$44+Calculos!$E$42</f>
        <v>-78588491.6980042</v>
      </c>
      <c r="F44" s="83" t="n">
        <f aca="false">Calculos!$E$44+Calculos!$F$42</f>
        <v>-88329383.9025544</v>
      </c>
      <c r="G44" s="83" t="n">
        <f aca="false">Calculos!$F$44+Calculos!$G$42</f>
        <v>-91764381.4775857</v>
      </c>
    </row>
    <row r="46" customFormat="false" ht="12.8" hidden="false" customHeight="false" outlineLevel="0" collapsed="false">
      <c r="A46" s="0" t="s">
        <v>3</v>
      </c>
      <c r="B46" s="83" t="n">
        <f aca="false">-Calculos!$B$40</f>
        <v>38467030.0885877</v>
      </c>
    </row>
    <row r="47" customFormat="false" ht="12.8" hidden="false" customHeight="false" outlineLevel="0" collapsed="false">
      <c r="A47" s="0" t="s">
        <v>7</v>
      </c>
      <c r="B47" s="83" t="n">
        <f aca="false">SUM(Calculos!$B$42:$G$42)</f>
        <v>-91764381.4775857</v>
      </c>
    </row>
    <row r="48" customFormat="false" ht="12.8" hidden="false" customHeight="false" outlineLevel="0" collapsed="false">
      <c r="A48" s="0" t="s">
        <v>9</v>
      </c>
      <c r="B48" s="84" t="e">
        <f aca="false">IFERROR(IRR(Calculos!$B$40:$G$40),NA())</f>
        <v>#N/A</v>
      </c>
    </row>
    <row r="49" customFormat="false" ht="12.8" hidden="false" customHeight="false" outlineLevel="0" collapsed="false">
      <c r="A49" s="0" t="s">
        <v>10</v>
      </c>
      <c r="B49" s="0" t="e">
        <f aca="false">IFERROR(IF(Calculos!$C$44&gt;=0,0+(-Calculos!$B$44/Calculos!$C$42),IF(Calculos!$D$44&gt;=0,1+(-Calculos!$C$44/Calculos!$D$42),IF(Calculos!$E$44&gt;=0,2+(-Calculos!$D$44/Calculos!$E$42),IF(Calculos!$F$44&gt;=0,3+(-Calculos!$E$44/Calculos!$F$42),IF(Calculos!$G$44&gt;=0,4+(-Calculos!$F$44/Calculos!$G$42),NA()))))),NA())</f>
        <v>#N/A</v>
      </c>
    </row>
    <row r="50" customFormat="false" ht="12.8" hidden="false" customHeight="false" outlineLevel="0" collapsed="false">
      <c r="A50" s="0" t="s">
        <v>12</v>
      </c>
      <c r="B50" s="0" t="n">
        <f aca="false">(Calculos!$C$42+Calculos!$D$42+Calculos!$E$42+Calculos!$F$42+Calculos!$G$42)/(-Calculos!$B$40)</f>
        <v>-1.38553330647718</v>
      </c>
    </row>
    <row r="51" customFormat="false" ht="12.8" hidden="false" customHeight="false" outlineLevel="0" collapsed="false">
      <c r="A51" s="0" t="s">
        <v>5</v>
      </c>
      <c r="B51" s="83" t="n">
        <f aca="false">-MIN(Calculos!$B$43:$G$43)</f>
        <v>125493563.000152</v>
      </c>
    </row>
    <row r="52" customFormat="false" ht="12.8" hidden="false" customHeight="false" outlineLevel="0" collapsed="false">
      <c r="A52" s="0" t="s">
        <v>363</v>
      </c>
      <c r="B52" s="0" t="n">
        <f aca="false">IF((Calculos!$C$25-Calculos!$C$26)&gt;0,Calculos!$C$29/(Calculos!$C$25-Calculos!$C$26)/12,NA())</f>
        <v>2169.86108768423</v>
      </c>
    </row>
    <row r="53" customFormat="false" ht="12.8" hidden="false" customHeight="false" outlineLevel="0" collapsed="false">
      <c r="A53" s="0" t="s">
        <v>364</v>
      </c>
      <c r="B53" s="0" t="n">
        <f aca="false">IF(AND(Inputs!$C$51&gt;0,Inputs!$C$52&gt;0),Inputs!$C$51*Inputs!$C$52*12,NA())</f>
        <v>15840</v>
      </c>
    </row>
    <row r="54" customFormat="false" ht="12.8" hidden="false" customHeight="false" outlineLevel="0" collapsed="false">
      <c r="A54" s="0" t="s">
        <v>365</v>
      </c>
      <c r="B54" s="0" t="n">
        <f aca="false">IFERROR(Calculos!$G$23/Calculos!$B$53,NA())</f>
        <v>1</v>
      </c>
    </row>
    <row r="55" customFormat="false" ht="12.8" hidden="false" customHeight="false" outlineLevel="0" collapsed="false">
      <c r="A55" s="0" t="s">
        <v>366</v>
      </c>
      <c r="B55" s="0" t="n">
        <f aca="false">IFERROR(Calculos!$B$52*12/Calculos!$B$53,NA())</f>
        <v>1.64383415733653</v>
      </c>
    </row>
    <row r="56" customFormat="false" ht="12.8" hidden="false" customHeight="false" outlineLevel="0" collapsed="false">
      <c r="A56" s="0" t="s">
        <v>367</v>
      </c>
      <c r="B56" s="0" t="n">
        <f aca="false">IFERROR(Calculos!$B$47/Calculos!$B$51,NA())</f>
        <v>-0.731227795942604</v>
      </c>
    </row>
    <row r="59" customFormat="false" ht="12.8" hidden="false" customHeight="false" outlineLevel="0" collapsed="false">
      <c r="A59" s="81" t="s">
        <v>368</v>
      </c>
      <c r="B59" s="81"/>
      <c r="C59" s="81"/>
      <c r="D59" s="81"/>
      <c r="E59" s="81"/>
      <c r="F59" s="81"/>
      <c r="G59" s="81"/>
    </row>
    <row r="60" customFormat="false" ht="12.8" hidden="false" customHeight="false" outlineLevel="0" collapsed="false">
      <c r="A60" s="0" t="s">
        <v>316</v>
      </c>
      <c r="B60" s="85" t="n">
        <f aca="false">Inputs!$C$70</f>
        <v>0.72</v>
      </c>
    </row>
    <row r="61" customFormat="false" ht="12.8" hidden="false" customHeight="false" outlineLevel="0" collapsed="false">
      <c r="A61" s="0" t="s">
        <v>315</v>
      </c>
      <c r="B61" s="82" t="n">
        <f aca="false">Inputs!$C$71</f>
        <v>1</v>
      </c>
    </row>
    <row r="62" customFormat="false" ht="12.8" hidden="false" customHeight="false" outlineLevel="0" collapsed="false">
      <c r="A62" s="0" t="s">
        <v>348</v>
      </c>
      <c r="B62" s="82" t="n">
        <f aca="false">Inputs!$C$72</f>
        <v>1</v>
      </c>
    </row>
    <row r="63" customFormat="false" ht="12.8" hidden="false" customHeight="false" outlineLevel="0" collapsed="false">
      <c r="A63" s="0" t="s">
        <v>349</v>
      </c>
      <c r="B63" s="82" t="n">
        <f aca="false">Inputs!$C$73</f>
        <v>1</v>
      </c>
    </row>
    <row r="64" customFormat="false" ht="12.8" hidden="false" customHeight="false" outlineLevel="0" collapsed="false">
      <c r="A64" s="0" t="s">
        <v>350</v>
      </c>
      <c r="B64" s="85" t="n">
        <f aca="false">Inputs!$C$74</f>
        <v>1.3</v>
      </c>
    </row>
    <row r="66" customFormat="false" ht="12.8" hidden="false" customHeight="false" outlineLevel="0" collapsed="false">
      <c r="A66" s="0" t="s">
        <v>351</v>
      </c>
      <c r="B66" s="83" t="n">
        <f aca="false">IF(Inputs!$C$61&gt;0,Inputs!$C$61,Inputs!$C$53+Inputs!$C$54+Inputs!$C$55+Inputs!$C$56+Inputs!$C$57+Inputs!$C$58+Inputs!$C$59+Inputs!$C$60)</f>
        <v>10120237</v>
      </c>
    </row>
    <row r="67" customFormat="false" ht="12.8" hidden="false" customHeight="false" outlineLevel="0" collapsed="false">
      <c r="A67" s="0" t="s">
        <v>352</v>
      </c>
      <c r="B67" s="83" t="n">
        <f aca="false">Calculos!$B$66*Inputs!$C$62</f>
        <v>1518035.55</v>
      </c>
    </row>
    <row r="68" customFormat="false" ht="12.8" hidden="false" customHeight="false" outlineLevel="0" collapsed="false">
      <c r="A68" s="0" t="s">
        <v>353</v>
      </c>
      <c r="B68" s="83" t="n">
        <f aca="false">IF(Inputs!$C$39&gt;0,Inputs!$C$39,Inputs!$C$37*Inputs!$C$38)</f>
        <v>759720</v>
      </c>
    </row>
    <row r="69" customFormat="false" ht="12.8" hidden="false" customHeight="false" outlineLevel="0" collapsed="false">
      <c r="A69" s="0" t="s">
        <v>354</v>
      </c>
      <c r="B69" s="83" t="n">
        <f aca="false">((Inputs!$C$26*Inputs!$C$34+Inputs!$C$27*Inputs!$C$35+Inputs!$C$28*Inputs!$C$36+Inputs!$C$29)*(1+Inputs!$C$33)+Inputs!$C$30+Inputs!$C$31+Inputs!$C$32)</f>
        <v>2433.274</v>
      </c>
    </row>
    <row r="70" customFormat="false" ht="12.8" hidden="false" customHeight="false" outlineLevel="0" collapsed="false">
      <c r="A70" s="0" t="s">
        <v>355</v>
      </c>
      <c r="B70" s="83" t="n">
        <f aca="false">(Calculos!$B$68+IF(Inputs!$C$50&gt;0,Inputs!$C$50,Inputs!$C$40*Inputs!$C$41)+Inputs!$C$42+Inputs!$C$43+Inputs!$C$44+Inputs!$C$45+Inputs!$C$46)</f>
        <v>3833550</v>
      </c>
    </row>
    <row r="71" customFormat="false" ht="12.8" hidden="false" customHeight="false" outlineLevel="0" collapsed="false">
      <c r="A71" s="0" t="s">
        <v>356</v>
      </c>
      <c r="B71" s="83" t="n">
        <f aca="false">(Calculos!$B$66+Calculos!$B$67+Inputs!$C$63)*(1+Inputs!$C$66)*Calculos!$B$64</f>
        <v>35339217.46225</v>
      </c>
    </row>
    <row r="72" customFormat="false" ht="12.8" hidden="false" customHeight="false" outlineLevel="0" collapsed="false">
      <c r="A72" s="0" t="s">
        <v>357</v>
      </c>
      <c r="B72" s="83" t="n">
        <f aca="false">Calculos!$B$71+(Inputs!$C$64+Inputs!$C$65)*Calculos!$B$64</f>
        <v>38589217.46225</v>
      </c>
    </row>
    <row r="73" customFormat="false" ht="12.8" hidden="false" customHeight="false" outlineLevel="0" collapsed="false">
      <c r="A73" s="0" t="s">
        <v>358</v>
      </c>
      <c r="B73" s="83" t="n">
        <f aca="false">Calculos!$B$71/Inputs!$C$68</f>
        <v>3533921.746225</v>
      </c>
    </row>
    <row r="74" customFormat="false" ht="12.8" hidden="false" customHeight="false" outlineLevel="0" collapsed="false">
      <c r="A74" s="0" t="s">
        <v>359</v>
      </c>
      <c r="B74" s="83" t="n">
        <f aca="false">Calculos!$B$71*Inputs!$C$69</f>
        <v>3533921.746225</v>
      </c>
    </row>
    <row r="75" customFormat="false" ht="12.8" hidden="false" customHeight="false" outlineLevel="0" collapsed="false">
      <c r="A75" s="0" t="s">
        <v>360</v>
      </c>
      <c r="B75" s="83" t="n">
        <f aca="false">Calculos!$B$68*Inputs!$C$67</f>
        <v>1519440</v>
      </c>
    </row>
    <row r="77" customFormat="false" ht="18.45" hidden="false" customHeight="true" outlineLevel="0" collapsed="false">
      <c r="A77" s="45" t="s">
        <v>294</v>
      </c>
      <c r="B77" s="45" t="s">
        <v>309</v>
      </c>
      <c r="C77" s="45" t="s">
        <v>310</v>
      </c>
      <c r="D77" s="45" t="s">
        <v>311</v>
      </c>
      <c r="E77" s="45" t="s">
        <v>312</v>
      </c>
      <c r="F77" s="45" t="s">
        <v>313</v>
      </c>
      <c r="G77" s="45" t="s">
        <v>314</v>
      </c>
    </row>
    <row r="78" customFormat="false" ht="12.8" hidden="false" customHeight="false" outlineLevel="0" collapsed="false">
      <c r="A78" s="0" t="s">
        <v>315</v>
      </c>
      <c r="C78" s="0" t="n">
        <f aca="false">IF(AND(Inputs!$C$51&gt;0,Inputs!$C$52&gt;0),MIN((IF(Inputs!$C$11&gt;0,Inputs!$C$11*12,Inputs!$C$12))*Calculos!$B$61,Inputs!$C$51*Inputs!$C$52*12),(IF(Inputs!$C$11&gt;0,Inputs!$C$11*12,Inputs!$C$12))*Calculos!$B$61)</f>
        <v>15840</v>
      </c>
      <c r="D78" s="0" t="n">
        <f aca="false">IF(AND(Inputs!$C$51&gt;0,Inputs!$C$52&gt;0),MIN((IF(Inputs!$C$11&gt;0,Inputs!$C$11*12,Inputs!$C$12)*IF(Inputs!$C$17&gt;0,Inputs!$C$17,Inputs!$C$13/Inputs!$C$12))*Calculos!$B$61,Inputs!$C$51*Inputs!$C$52*12),(IF(Inputs!$C$11&gt;0,Inputs!$C$11*12,Inputs!$C$12)*IF(Inputs!$C$17&gt;0,Inputs!$C$17,Inputs!$C$13/Inputs!$C$12))*Calculos!$B$61)</f>
        <v>15840</v>
      </c>
      <c r="E78" s="0" t="n">
        <f aca="false">IF(AND(Inputs!$C$51&gt;0,Inputs!$C$52&gt;0),MIN((IF(Inputs!$C$11&gt;0,Inputs!$C$11*12,Inputs!$C$12)*IF(Inputs!$C$18&gt;0,Inputs!$C$18,Inputs!$C$14/Inputs!$C$12))*Calculos!$B$61,Inputs!$C$51*Inputs!$C$52*12),(IF(Inputs!$C$11&gt;0,Inputs!$C$11*12,Inputs!$C$12)*IF(Inputs!$C$18&gt;0,Inputs!$C$18,Inputs!$C$14/Inputs!$C$12))*Calculos!$B$61)</f>
        <v>15840</v>
      </c>
      <c r="F78" s="0" t="n">
        <f aca="false">IF(AND(Inputs!$C$51&gt;0,Inputs!$C$52&gt;0),MIN((IF(Inputs!$C$11&gt;0,Inputs!$C$11*12,Inputs!$C$12)*IF(Inputs!$C$19&gt;0,Inputs!$C$19,Inputs!$C$15/Inputs!$C$12))*Calculos!$B$61,Inputs!$C$51*Inputs!$C$52*12),(IF(Inputs!$C$11&gt;0,Inputs!$C$11*12,Inputs!$C$12)*IF(Inputs!$C$19&gt;0,Inputs!$C$19,Inputs!$C$15/Inputs!$C$12))*Calculos!$B$61)</f>
        <v>15840</v>
      </c>
      <c r="G78" s="0" t="n">
        <f aca="false">IF(AND(Inputs!$C$51&gt;0,Inputs!$C$52&gt;0),MIN((IF(Inputs!$C$11&gt;0,Inputs!$C$11*12,Inputs!$C$12)*IF(Inputs!$C$20&gt;0,Inputs!$C$20,Inputs!$C$16/Inputs!$C$12))*Calculos!$B$61,Inputs!$C$51*Inputs!$C$52*12),(IF(Inputs!$C$11&gt;0,Inputs!$C$11*12,Inputs!$C$12)*IF(Inputs!$C$20&gt;0,Inputs!$C$20,Inputs!$C$16/Inputs!$C$12))*Calculos!$B$61)</f>
        <v>15840</v>
      </c>
    </row>
    <row r="79" customFormat="false" ht="12.8" hidden="false" customHeight="false" outlineLevel="0" collapsed="false">
      <c r="A79" s="0" t="s">
        <v>361</v>
      </c>
      <c r="C79" s="0" t="n">
        <f aca="false">(1+Inputs!$C$7)^1</f>
        <v>1.03</v>
      </c>
      <c r="D79" s="0" t="n">
        <f aca="false">(1+Inputs!$C$7)^2</f>
        <v>1.0609</v>
      </c>
      <c r="E79" s="0" t="n">
        <f aca="false">(1+Inputs!$C$7)^3</f>
        <v>1.092727</v>
      </c>
      <c r="F79" s="0" t="n">
        <f aca="false">(1+Inputs!$C$7)^4</f>
        <v>1.12550881</v>
      </c>
      <c r="G79" s="0" t="n">
        <f aca="false">(1+Inputs!$C$7)^5</f>
        <v>1.1592740743</v>
      </c>
    </row>
    <row r="80" customFormat="false" ht="12.8" hidden="false" customHeight="false" outlineLevel="0" collapsed="false">
      <c r="A80" s="0" t="s">
        <v>316</v>
      </c>
      <c r="B80" s="83"/>
      <c r="C80" s="83" t="n">
        <f aca="false">Inputs!$C$10*Calculos!$B$60*Calculos!$C$79</f>
        <v>3114.72</v>
      </c>
      <c r="D80" s="83" t="n">
        <f aca="false">Inputs!$C$10*Calculos!$B$60*Calculos!$D$79</f>
        <v>3208.1616</v>
      </c>
      <c r="E80" s="83" t="n">
        <f aca="false">Inputs!$C$10*Calculos!$B$60*Calculos!$E$79</f>
        <v>3304.406448</v>
      </c>
      <c r="F80" s="83" t="n">
        <f aca="false">Inputs!$C$10*Calculos!$B$60*Calculos!$F$79</f>
        <v>3403.53864144</v>
      </c>
      <c r="G80" s="83" t="n">
        <f aca="false">Inputs!$C$10*Calculos!$B$60*Calculos!$G$79</f>
        <v>3505.6448006832</v>
      </c>
    </row>
    <row r="81" customFormat="false" ht="12.8" hidden="false" customHeight="false" outlineLevel="0" collapsed="false">
      <c r="A81" s="0" t="s">
        <v>362</v>
      </c>
      <c r="B81" s="83"/>
      <c r="C81" s="83" t="n">
        <f aca="false">Calculos!$B$69*Calculos!$B$62*Calculos!$C$79</f>
        <v>2506.27222</v>
      </c>
      <c r="D81" s="83" t="n">
        <f aca="false">Calculos!$B$69*Calculos!$B$62*Calculos!$D$79</f>
        <v>2581.4603866</v>
      </c>
      <c r="E81" s="83" t="n">
        <f aca="false">Calculos!$B$69*Calculos!$B$62*Calculos!$E$79</f>
        <v>2658.904198198</v>
      </c>
      <c r="F81" s="83" t="n">
        <f aca="false">Calculos!$B$69*Calculos!$B$62*Calculos!$F$79</f>
        <v>2738.67132414394</v>
      </c>
      <c r="G81" s="83" t="n">
        <f aca="false">Calculos!$B$69*Calculos!$B$62*Calculos!$G$79</f>
        <v>2820.83146386826</v>
      </c>
    </row>
    <row r="82" customFormat="false" ht="12.8" hidden="false" customHeight="false" outlineLevel="0" collapsed="false">
      <c r="A82" s="0" t="s">
        <v>317</v>
      </c>
      <c r="B82" s="83"/>
      <c r="C82" s="83" t="n">
        <f aca="false">Calculos!$C$78*Calculos!$C$80</f>
        <v>49337164.8</v>
      </c>
      <c r="D82" s="83" t="n">
        <f aca="false">Calculos!$D$78*Calculos!$D$80</f>
        <v>50817279.744</v>
      </c>
      <c r="E82" s="83" t="n">
        <f aca="false">Calculos!$E$78*Calculos!$E$80</f>
        <v>52341798.13632</v>
      </c>
      <c r="F82" s="83" t="n">
        <f aca="false">Calculos!$F$78*Calculos!$F$80</f>
        <v>53912052.0804096</v>
      </c>
      <c r="G82" s="83" t="n">
        <f aca="false">Calculos!$G$78*Calculos!$G$80</f>
        <v>55529413.6428219</v>
      </c>
    </row>
    <row r="83" customFormat="false" ht="12.8" hidden="false" customHeight="false" outlineLevel="0" collapsed="false">
      <c r="A83" s="0" t="s">
        <v>318</v>
      </c>
      <c r="B83" s="83"/>
      <c r="C83" s="83" t="n">
        <f aca="false">Calculos!$C$78*Calculos!$C$81</f>
        <v>39699351.9648</v>
      </c>
      <c r="D83" s="83" t="n">
        <f aca="false">Calculos!$D$78*Calculos!$D$81</f>
        <v>40890332.523744</v>
      </c>
      <c r="E83" s="83" t="n">
        <f aca="false">Calculos!$E$78*Calculos!$E$81</f>
        <v>42117042.4994563</v>
      </c>
      <c r="F83" s="83" t="n">
        <f aca="false">Calculos!$F$78*Calculos!$F$81</f>
        <v>43380553.77444</v>
      </c>
      <c r="G83" s="83" t="n">
        <f aca="false">Calculos!$G$78*Calculos!$G$81</f>
        <v>44681970.3876732</v>
      </c>
    </row>
    <row r="84" customFormat="false" ht="12.8" hidden="false" customHeight="false" outlineLevel="0" collapsed="false">
      <c r="A84" s="0" t="s">
        <v>319</v>
      </c>
      <c r="B84" s="83"/>
      <c r="C84" s="83" t="n">
        <f aca="false">Calculos!$B$70*12*Calculos!$B$63*Calculos!$C$79</f>
        <v>47382678</v>
      </c>
      <c r="D84" s="83" t="n">
        <f aca="false">Calculos!$B$70*12*Calculos!$B$63*Calculos!$D$79</f>
        <v>48804158.34</v>
      </c>
      <c r="E84" s="83" t="n">
        <f aca="false">Calculos!$B$70*12*Calculos!$B$63*Calculos!$E$79</f>
        <v>50268283.0902</v>
      </c>
      <c r="F84" s="83" t="n">
        <f aca="false">Calculos!$B$70*12*Calculos!$B$63*Calculos!$F$79</f>
        <v>51776331.582906</v>
      </c>
      <c r="G84" s="83" t="n">
        <f aca="false">Calculos!$B$70*12*Calculos!$B$63*Calculos!$G$79</f>
        <v>53329621.5303932</v>
      </c>
    </row>
    <row r="85" customFormat="false" ht="12.8" hidden="false" customHeight="false" outlineLevel="0" collapsed="false">
      <c r="A85" s="0" t="s">
        <v>320</v>
      </c>
      <c r="B85" s="83"/>
      <c r="C85" s="83" t="n">
        <f aca="false">Calculos!$C$82-Calculos!$C$83-Calculos!$C$84</f>
        <v>-37744865.1648</v>
      </c>
      <c r="D85" s="83" t="n">
        <f aca="false">Calculos!$D$82-Calculos!$D$83-Calculos!$D$84</f>
        <v>-38877211.119744</v>
      </c>
      <c r="E85" s="83" t="n">
        <f aca="false">Calculos!$E$82-Calculos!$E$83-Calculos!$E$84</f>
        <v>-40043527.4533363</v>
      </c>
      <c r="F85" s="83" t="n">
        <f aca="false">Calculos!$F$82-Calculos!$F$83-Calculos!$F$84</f>
        <v>-41244833.2769364</v>
      </c>
      <c r="G85" s="83" t="n">
        <f aca="false">Calculos!$G$82-Calculos!$G$83-Calculos!$G$84</f>
        <v>-42482178.2752445</v>
      </c>
    </row>
    <row r="86" customFormat="false" ht="12.8" hidden="false" customHeight="false" outlineLevel="0" collapsed="false">
      <c r="A86" s="0" t="s">
        <v>321</v>
      </c>
      <c r="B86" s="83"/>
      <c r="C86" s="83" t="n">
        <f aca="false">Calculos!$B$73</f>
        <v>3533921.746225</v>
      </c>
      <c r="D86" s="83" t="n">
        <f aca="false">Calculos!$B$73</f>
        <v>3533921.746225</v>
      </c>
      <c r="E86" s="83" t="n">
        <f aca="false">Calculos!$B$73</f>
        <v>3533921.746225</v>
      </c>
      <c r="F86" s="83" t="n">
        <f aca="false">Calculos!$B$73</f>
        <v>3533921.746225</v>
      </c>
      <c r="G86" s="83" t="n">
        <f aca="false">Calculos!$B$73</f>
        <v>3533921.746225</v>
      </c>
    </row>
    <row r="87" customFormat="false" ht="12.8" hidden="false" customHeight="false" outlineLevel="0" collapsed="false">
      <c r="A87" s="0" t="s">
        <v>322</v>
      </c>
      <c r="B87" s="83"/>
      <c r="C87" s="83" t="n">
        <f aca="false">Calculos!$C$85-Calculos!$C$86</f>
        <v>-41278786.911025</v>
      </c>
      <c r="D87" s="83" t="n">
        <f aca="false">Calculos!$D$85-Calculos!$D$86</f>
        <v>-42411132.865969</v>
      </c>
      <c r="E87" s="83" t="n">
        <f aca="false">Calculos!$E$85-Calculos!$E$86</f>
        <v>-43577449.1995613</v>
      </c>
      <c r="F87" s="83" t="n">
        <f aca="false">Calculos!$F$85-Calculos!$F$86</f>
        <v>-44778755.0231614</v>
      </c>
      <c r="G87" s="83" t="n">
        <f aca="false">Calculos!$G$85-Calculos!$G$86</f>
        <v>-46016100.0214695</v>
      </c>
    </row>
    <row r="88" customFormat="false" ht="12.8" hidden="false" customHeight="false" outlineLevel="0" collapsed="false">
      <c r="A88" s="0" t="s">
        <v>323</v>
      </c>
      <c r="B88" s="83"/>
      <c r="C88" s="83" t="n">
        <f aca="false">0</f>
        <v>0</v>
      </c>
      <c r="D88" s="83" t="n">
        <f aca="false">Calculos!$C$91</f>
        <v>41278786.911025</v>
      </c>
      <c r="E88" s="83" t="n">
        <f aca="false">Calculos!$D$91</f>
        <v>83689919.776994</v>
      </c>
      <c r="F88" s="83" t="n">
        <f aca="false">Calculos!$E$91</f>
        <v>127267368.976555</v>
      </c>
      <c r="G88" s="83" t="n">
        <f aca="false">Calculos!$F$91</f>
        <v>172046123.999717</v>
      </c>
    </row>
    <row r="89" customFormat="false" ht="12.8" hidden="false" customHeight="false" outlineLevel="0" collapsed="false">
      <c r="A89" s="0" t="s">
        <v>324</v>
      </c>
      <c r="B89" s="83"/>
      <c r="C89" s="83" t="n">
        <f aca="false">MAX(0,Calculos!$C$87-Calculos!$C$88)</f>
        <v>0</v>
      </c>
      <c r="D89" s="83" t="n">
        <f aca="false">MAX(0,Calculos!$D$87-Calculos!$D$88)</f>
        <v>0</v>
      </c>
      <c r="E89" s="83" t="n">
        <f aca="false">MAX(0,Calculos!$E$87-Calculos!$E$88)</f>
        <v>0</v>
      </c>
      <c r="F89" s="83" t="n">
        <f aca="false">MAX(0,Calculos!$F$87-Calculos!$F$88)</f>
        <v>0</v>
      </c>
      <c r="G89" s="83" t="n">
        <f aca="false">MAX(0,Calculos!$G$87-Calculos!$G$88)</f>
        <v>0</v>
      </c>
    </row>
    <row r="90" customFormat="false" ht="12.8" hidden="false" customHeight="false" outlineLevel="0" collapsed="false">
      <c r="A90" s="0" t="s">
        <v>325</v>
      </c>
      <c r="B90" s="83"/>
      <c r="C90" s="83" t="n">
        <f aca="false">Calculos!$C$89*Inputs!$C$21</f>
        <v>0</v>
      </c>
      <c r="D90" s="83" t="n">
        <f aca="false">Calculos!$D$89*Inputs!$C$22</f>
        <v>0</v>
      </c>
      <c r="E90" s="83" t="n">
        <f aca="false">Calculos!$E$89*Inputs!$C$23</f>
        <v>0</v>
      </c>
      <c r="F90" s="83" t="n">
        <f aca="false">Calculos!$F$89*Inputs!$C$24</f>
        <v>0</v>
      </c>
      <c r="G90" s="83" t="n">
        <f aca="false">Calculos!$G$89*Inputs!$C$25</f>
        <v>0</v>
      </c>
    </row>
    <row r="91" customFormat="false" ht="12.8" hidden="false" customHeight="false" outlineLevel="0" collapsed="false">
      <c r="A91" s="0" t="s">
        <v>326</v>
      </c>
      <c r="B91" s="83"/>
      <c r="C91" s="83" t="n">
        <f aca="false">MAX(0,Calculos!$C$88-Calculos!$C$87)</f>
        <v>41278786.911025</v>
      </c>
      <c r="D91" s="83" t="n">
        <f aca="false">MAX(0,Calculos!$D$88-Calculos!$D$87)</f>
        <v>83689919.776994</v>
      </c>
      <c r="E91" s="83" t="n">
        <f aca="false">MAX(0,Calculos!$E$88-Calculos!$E$87)</f>
        <v>127267368.976555</v>
      </c>
      <c r="F91" s="83" t="n">
        <f aca="false">MAX(0,Calculos!$F$88-Calculos!$F$87)</f>
        <v>172046123.999717</v>
      </c>
      <c r="G91" s="83" t="n">
        <f aca="false">MAX(0,Calculos!$G$88-Calculos!$G$87)</f>
        <v>218062224.021186</v>
      </c>
    </row>
    <row r="92" customFormat="false" ht="12.8" hidden="false" customHeight="false" outlineLevel="0" collapsed="false">
      <c r="A92" s="0" t="s">
        <v>327</v>
      </c>
      <c r="B92" s="83"/>
      <c r="C92" s="83" t="n">
        <f aca="false">Calculos!$C$82*Inputs!$C$47/365+Calculos!$C$83*Inputs!$C$48/365-Calculos!$C$83*Inputs!$C$49/365</f>
        <v>5686589.65334795</v>
      </c>
      <c r="D92" s="83" t="n">
        <f aca="false">Calculos!$D$82*Inputs!$C$47/365+Calculos!$D$83*Inputs!$C$48/365-Calculos!$D$83*Inputs!$C$49/365</f>
        <v>5857187.34294838</v>
      </c>
      <c r="E92" s="83" t="n">
        <f aca="false">Calculos!$E$82*Inputs!$C$47/365+Calculos!$E$83*Inputs!$C$48/365-Calculos!$E$83*Inputs!$C$49/365</f>
        <v>6032902.96323684</v>
      </c>
      <c r="F92" s="83" t="n">
        <f aca="false">Calculos!$F$82*Inputs!$C$47/365+Calculos!$F$83*Inputs!$C$48/365-Calculos!$F$83*Inputs!$C$49/365</f>
        <v>6213890.05213394</v>
      </c>
      <c r="G92" s="83" t="n">
        <f aca="false">Calculos!$G$82*Inputs!$C$47/365+Calculos!$G$83*Inputs!$C$48/365-Calculos!$G$83*Inputs!$C$49/365</f>
        <v>6400306.75369796</v>
      </c>
    </row>
    <row r="93" customFormat="false" ht="12.8" hidden="false" customHeight="false" outlineLevel="0" collapsed="false">
      <c r="A93" s="0" t="s">
        <v>328</v>
      </c>
      <c r="B93" s="83"/>
      <c r="C93" s="83" t="n">
        <f aca="false">Calculos!$C$92-Calculos!$C$92</f>
        <v>0</v>
      </c>
      <c r="D93" s="83" t="n">
        <f aca="false">Calculos!$D$92-Calculos!$C$92</f>
        <v>170597.689600437</v>
      </c>
      <c r="E93" s="83" t="n">
        <f aca="false">Calculos!$E$92-Calculos!$D$92</f>
        <v>175715.620288451</v>
      </c>
      <c r="F93" s="83" t="n">
        <f aca="false">Calculos!$F$92-Calculos!$E$92</f>
        <v>180987.088897106</v>
      </c>
      <c r="G93" s="83" t="n">
        <f aca="false">Calculos!$G$92-Calculos!$F$92</f>
        <v>186416.701564018</v>
      </c>
    </row>
    <row r="94" customFormat="false" ht="12.8" hidden="false" customHeight="false" outlineLevel="0" collapsed="false">
      <c r="A94" s="0" t="s">
        <v>329</v>
      </c>
      <c r="B94" s="83"/>
      <c r="C94" s="83" t="n">
        <f aca="false">0</f>
        <v>0</v>
      </c>
      <c r="D94" s="83" t="n">
        <f aca="false">0</f>
        <v>0</v>
      </c>
      <c r="E94" s="83" t="n">
        <f aca="false">0</f>
        <v>0</v>
      </c>
      <c r="F94" s="83" t="n">
        <f aca="false">0</f>
        <v>0</v>
      </c>
      <c r="G94" s="83" t="n">
        <f aca="false">Calculos!$B$74-MAX(0,(Calculos!$B$74-MAX(0,Calculos!$B$71-Calculos!$B$73*5)))*Inputs!$C$25+Calculos!$G$92+Calculos!$B$75</f>
        <v>11453668.499923</v>
      </c>
    </row>
    <row r="95" customFormat="false" ht="12.8" hidden="false" customHeight="false" outlineLevel="0" collapsed="false">
      <c r="A95" s="0" t="s">
        <v>330</v>
      </c>
      <c r="B95" s="83" t="n">
        <f aca="false">-(Calculos!$B$72+Calculos!$B$75+Calculos!$C$92)</f>
        <v>-45795247.1155979</v>
      </c>
      <c r="C95" s="83" t="n">
        <f aca="false">Calculos!$C$85-Calculos!$C$90-Calculos!$C$93+Calculos!$C$94</f>
        <v>-37744865.1648</v>
      </c>
      <c r="D95" s="83" t="n">
        <f aca="false">Calculos!$D$85-Calculos!$D$90-Calculos!$D$93+Calculos!$D$94</f>
        <v>-39047808.8093444</v>
      </c>
      <c r="E95" s="83" t="n">
        <f aca="false">Calculos!$E$85-Calculos!$E$90-Calculos!$E$93+Calculos!$E$94</f>
        <v>-40219243.0736248</v>
      </c>
      <c r="F95" s="83" t="n">
        <f aca="false">Calculos!$F$85-Calculos!$F$90-Calculos!$F$93+Calculos!$F$94</f>
        <v>-41425820.3658335</v>
      </c>
      <c r="G95" s="83" t="n">
        <f aca="false">Calculos!$G$85-Calculos!$G$90-Calculos!$G$93+Calculos!$G$94</f>
        <v>-31214926.4768856</v>
      </c>
    </row>
    <row r="96" customFormat="false" ht="12.8" hidden="false" customHeight="false" outlineLevel="0" collapsed="false">
      <c r="A96" s="0" t="s">
        <v>331</v>
      </c>
      <c r="B96" s="83" t="n">
        <v>1</v>
      </c>
      <c r="C96" s="83" t="n">
        <f aca="false">1/(1+Inputs!$C$6)^1</f>
        <v>0.830151087497925</v>
      </c>
      <c r="D96" s="83" t="n">
        <f aca="false">1/(1+Inputs!$C$6)^2</f>
        <v>0.689150828073987</v>
      </c>
      <c r="E96" s="83" t="n">
        <f aca="false">1/(1+Inputs!$C$6)^3</f>
        <v>0.572099309375715</v>
      </c>
      <c r="F96" s="83" t="n">
        <f aca="false">1/(1+Inputs!$C$6)^4</f>
        <v>0.474928863835062</v>
      </c>
      <c r="G96" s="83" t="n">
        <f aca="false">1/(1+Inputs!$C$6)^5</f>
        <v>0.39426271279683</v>
      </c>
    </row>
    <row r="97" customFormat="false" ht="12.8" hidden="false" customHeight="false" outlineLevel="0" collapsed="false">
      <c r="A97" s="0" t="s">
        <v>332</v>
      </c>
      <c r="B97" s="83" t="n">
        <f aca="false">Calculos!$B$95</f>
        <v>-45795247.1155979</v>
      </c>
      <c r="C97" s="83" t="n">
        <f aca="false">Calculos!$C$95*Calculos!$C$96</f>
        <v>-31333940.8640213</v>
      </c>
      <c r="D97" s="83" t="n">
        <f aca="false">Calculos!$D$95*Calculos!$D$96</f>
        <v>-26909829.7754344</v>
      </c>
      <c r="E97" s="83" t="n">
        <f aca="false">Calculos!$E$95*Calculos!$E$96</f>
        <v>-23009401.1860348</v>
      </c>
      <c r="F97" s="83" t="n">
        <f aca="false">Calculos!$F$95*Calculos!$F$96</f>
        <v>-19674317.7997807</v>
      </c>
      <c r="G97" s="83" t="n">
        <f aca="false">Calculos!$G$95*Calculos!$G$96</f>
        <v>-12306881.5925305</v>
      </c>
    </row>
    <row r="98" customFormat="false" ht="12.8" hidden="false" customHeight="false" outlineLevel="0" collapsed="false">
      <c r="A98" s="0" t="s">
        <v>333</v>
      </c>
      <c r="B98" s="83" t="n">
        <f aca="false">Calculos!$B$95</f>
        <v>-45795247.1155979</v>
      </c>
      <c r="C98" s="83" t="n">
        <f aca="false">Calculos!$B$98+Calculos!$C$95</f>
        <v>-83540112.280398</v>
      </c>
      <c r="D98" s="83" t="n">
        <f aca="false">Calculos!$C$98+Calculos!$D$95</f>
        <v>-122587921.089742</v>
      </c>
      <c r="E98" s="83" t="n">
        <f aca="false">Calculos!$D$98+Calculos!$E$95</f>
        <v>-162807164.163367</v>
      </c>
      <c r="F98" s="83" t="n">
        <f aca="false">Calculos!$E$98+Calculos!$F$95</f>
        <v>-204232984.529201</v>
      </c>
      <c r="G98" s="83" t="n">
        <f aca="false">Calculos!$F$98+Calculos!$G$95</f>
        <v>-235447911.006086</v>
      </c>
    </row>
    <row r="99" customFormat="false" ht="12.8" hidden="false" customHeight="false" outlineLevel="0" collapsed="false">
      <c r="A99" s="0" t="s">
        <v>334</v>
      </c>
      <c r="B99" s="83" t="n">
        <f aca="false">Calculos!$B$97</f>
        <v>-45795247.1155979</v>
      </c>
      <c r="C99" s="83" t="n">
        <f aca="false">Calculos!$B$99+Calculos!$C$97</f>
        <v>-77129187.9796192</v>
      </c>
      <c r="D99" s="83" t="n">
        <f aca="false">Calculos!$C$99+Calculos!$D$97</f>
        <v>-104039017.755054</v>
      </c>
      <c r="E99" s="83" t="n">
        <f aca="false">Calculos!$D$99+Calculos!$E$97</f>
        <v>-127048418.941088</v>
      </c>
      <c r="F99" s="83" t="n">
        <f aca="false">Calculos!$E$99+Calculos!$F$97</f>
        <v>-146722736.740869</v>
      </c>
      <c r="G99" s="83" t="n">
        <f aca="false">Calculos!$F$99+Calculos!$G$97</f>
        <v>-159029618.3334</v>
      </c>
    </row>
    <row r="101" customFormat="false" ht="12.8" hidden="false" customHeight="false" outlineLevel="0" collapsed="false">
      <c r="A101" s="0" t="s">
        <v>3</v>
      </c>
      <c r="B101" s="83" t="n">
        <f aca="false">-Calculos!$B$95</f>
        <v>45795247.1155979</v>
      </c>
    </row>
    <row r="102" customFormat="false" ht="12.8" hidden="false" customHeight="false" outlineLevel="0" collapsed="false">
      <c r="A102" s="0" t="s">
        <v>7</v>
      </c>
      <c r="B102" s="83" t="n">
        <f aca="false">SUM(Calculos!$B$97:$G$97)</f>
        <v>-159029618.3334</v>
      </c>
    </row>
    <row r="103" customFormat="false" ht="12.8" hidden="false" customHeight="false" outlineLevel="0" collapsed="false">
      <c r="A103" s="0" t="s">
        <v>9</v>
      </c>
      <c r="B103" s="84" t="e">
        <f aca="false">IFERROR(IRR(Calculos!$B$95:$G$95),NA())</f>
        <v>#N/A</v>
      </c>
    </row>
    <row r="104" customFormat="false" ht="12.8" hidden="false" customHeight="false" outlineLevel="0" collapsed="false">
      <c r="A104" s="0" t="s">
        <v>10</v>
      </c>
      <c r="B104" s="0" t="e">
        <f aca="false">IFERROR(IF(Calculos!$C$99&gt;=0,0+(-Calculos!$B$99/Calculos!$C$97),IF(Calculos!$D$99&gt;=0,1+(-Calculos!$C$99/Calculos!$D$97),IF(Calculos!$E$99&gt;=0,2+(-Calculos!$D$99/Calculos!$E$97),IF(Calculos!$F$99&gt;=0,3+(-Calculos!$E$99/Calculos!$F$97),IF(Calculos!$G$99&gt;=0,4+(-Calculos!$F$99/Calculos!$G$97),NA()))))),NA())</f>
        <v>#N/A</v>
      </c>
    </row>
    <row r="105" customFormat="false" ht="12.8" hidden="false" customHeight="false" outlineLevel="0" collapsed="false">
      <c r="A105" s="0" t="s">
        <v>12</v>
      </c>
      <c r="B105" s="0" t="n">
        <f aca="false">(Calculos!$C$97+Calculos!$D$97+Calculos!$E$97+Calculos!$F$97+Calculos!$G$97)/(-Calculos!$B$95)</f>
        <v>-2.4726227796516</v>
      </c>
    </row>
    <row r="106" customFormat="false" ht="12.8" hidden="false" customHeight="false" outlineLevel="0" collapsed="false">
      <c r="A106" s="0" t="s">
        <v>5</v>
      </c>
      <c r="B106" s="83" t="n">
        <f aca="false">-MIN(Calculos!$B$98:$G$98)</f>
        <v>235447911.006086</v>
      </c>
    </row>
    <row r="107" customFormat="false" ht="12.8" hidden="false" customHeight="false" outlineLevel="0" collapsed="false">
      <c r="A107" s="0" t="s">
        <v>363</v>
      </c>
      <c r="B107" s="0" t="n">
        <f aca="false">IF((Calculos!$C$80-Calculos!$C$81)&gt;0,Calculos!$C$84/(Calculos!$C$80-Calculos!$C$81)/12,NA())</f>
        <v>6489.55691809739</v>
      </c>
    </row>
    <row r="108" customFormat="false" ht="12.8" hidden="false" customHeight="false" outlineLevel="0" collapsed="false">
      <c r="A108" s="0" t="s">
        <v>364</v>
      </c>
      <c r="B108" s="0" t="n">
        <f aca="false">IF(AND(Inputs!$C$51&gt;0,Inputs!$C$52&gt;0),Inputs!$C$51*Inputs!$C$52*12,NA())</f>
        <v>15840</v>
      </c>
    </row>
    <row r="109" customFormat="false" ht="12.8" hidden="false" customHeight="false" outlineLevel="0" collapsed="false">
      <c r="A109" s="0" t="s">
        <v>365</v>
      </c>
      <c r="B109" s="0" t="n">
        <f aca="false">IFERROR(Calculos!$G$78/Calculos!$B$108,NA())</f>
        <v>1</v>
      </c>
    </row>
    <row r="110" customFormat="false" ht="12.8" hidden="false" customHeight="false" outlineLevel="0" collapsed="false">
      <c r="A110" s="0" t="s">
        <v>366</v>
      </c>
      <c r="B110" s="0" t="n">
        <f aca="false">IFERROR(Calculos!$B$107*12/Calculos!$B$108,NA())</f>
        <v>4.91633099855863</v>
      </c>
    </row>
    <row r="111" customFormat="false" ht="12.8" hidden="false" customHeight="false" outlineLevel="0" collapsed="false">
      <c r="A111" s="0" t="s">
        <v>367</v>
      </c>
      <c r="B111" s="0" t="n">
        <f aca="false">IFERROR(Calculos!$B$102/Calculos!$B$106,NA())</f>
        <v>-0.675434399285406</v>
      </c>
    </row>
    <row r="114" customFormat="false" ht="12.8" hidden="false" customHeight="false" outlineLevel="0" collapsed="false">
      <c r="A114" s="81" t="s">
        <v>369</v>
      </c>
      <c r="B114" s="81"/>
      <c r="C114" s="81"/>
      <c r="D114" s="81"/>
      <c r="E114" s="81"/>
      <c r="F114" s="81"/>
      <c r="G114" s="81"/>
    </row>
    <row r="115" customFormat="false" ht="12.8" hidden="false" customHeight="false" outlineLevel="0" collapsed="false">
      <c r="A115" s="0" t="s">
        <v>316</v>
      </c>
      <c r="B115" s="82" t="n">
        <f aca="false">Inputs!$C$75</f>
        <v>1</v>
      </c>
    </row>
    <row r="116" customFormat="false" ht="12.8" hidden="false" customHeight="false" outlineLevel="0" collapsed="false">
      <c r="A116" s="0" t="s">
        <v>315</v>
      </c>
      <c r="B116" s="82" t="n">
        <f aca="false">Inputs!$C$76</f>
        <v>1</v>
      </c>
    </row>
    <row r="117" customFormat="false" ht="12.8" hidden="false" customHeight="false" outlineLevel="0" collapsed="false">
      <c r="A117" s="0" t="s">
        <v>348</v>
      </c>
      <c r="B117" s="82" t="n">
        <f aca="false">Inputs!$C$77</f>
        <v>1</v>
      </c>
    </row>
    <row r="118" customFormat="false" ht="12.8" hidden="false" customHeight="false" outlineLevel="0" collapsed="false">
      <c r="A118" s="0" t="s">
        <v>349</v>
      </c>
      <c r="B118" s="82" t="n">
        <f aca="false">Inputs!$C$78</f>
        <v>1</v>
      </c>
    </row>
    <row r="119" customFormat="false" ht="12.8" hidden="false" customHeight="false" outlineLevel="0" collapsed="false">
      <c r="A119" s="0" t="s">
        <v>350</v>
      </c>
      <c r="B119" s="82" t="n">
        <f aca="false">Inputs!$C$79</f>
        <v>1</v>
      </c>
    </row>
    <row r="121" customFormat="false" ht="12.8" hidden="false" customHeight="false" outlineLevel="0" collapsed="false">
      <c r="A121" s="0" t="s">
        <v>351</v>
      </c>
      <c r="B121" s="83" t="n">
        <f aca="false">IF(Inputs!$C$61&gt;0,Inputs!$C$61,Inputs!$C$53+Inputs!$C$54+Inputs!$C$55+Inputs!$C$56+Inputs!$C$57+Inputs!$C$58+Inputs!$C$59+Inputs!$C$60)</f>
        <v>10120237</v>
      </c>
    </row>
    <row r="122" customFormat="false" ht="12.8" hidden="false" customHeight="false" outlineLevel="0" collapsed="false">
      <c r="A122" s="0" t="s">
        <v>352</v>
      </c>
      <c r="B122" s="83" t="n">
        <f aca="false">Calculos!$B$121*Inputs!$C$62</f>
        <v>1518035.55</v>
      </c>
    </row>
    <row r="123" customFormat="false" ht="12.8" hidden="false" customHeight="false" outlineLevel="0" collapsed="false">
      <c r="A123" s="0" t="s">
        <v>353</v>
      </c>
      <c r="B123" s="83" t="n">
        <f aca="false">IF(Inputs!$C$39&gt;0,Inputs!$C$39,Inputs!$C$37*Inputs!$C$38)</f>
        <v>759720</v>
      </c>
    </row>
    <row r="124" customFormat="false" ht="12.8" hidden="false" customHeight="false" outlineLevel="0" collapsed="false">
      <c r="A124" s="0" t="s">
        <v>354</v>
      </c>
      <c r="B124" s="83" t="n">
        <f aca="false">((Inputs!$C$26*Inputs!$C$34+Inputs!$C$27*Inputs!$C$35+Inputs!$C$28*Inputs!$C$36+Inputs!$C$29)*(1+Inputs!$C$33)+Inputs!$C$30+Inputs!$C$31+Inputs!$C$32)</f>
        <v>2433.274</v>
      </c>
    </row>
    <row r="125" customFormat="false" ht="12.8" hidden="false" customHeight="false" outlineLevel="0" collapsed="false">
      <c r="A125" s="0" t="s">
        <v>355</v>
      </c>
      <c r="B125" s="83" t="n">
        <f aca="false">(Calculos!$B$123+IF(Inputs!$C$50&gt;0,Inputs!$C$50,Inputs!$C$40*Inputs!$C$41)+Inputs!$C$42+Inputs!$C$43+Inputs!$C$44+Inputs!$C$45+Inputs!$C$46)</f>
        <v>3833550</v>
      </c>
    </row>
    <row r="126" customFormat="false" ht="12.8" hidden="false" customHeight="false" outlineLevel="0" collapsed="false">
      <c r="A126" s="0" t="s">
        <v>356</v>
      </c>
      <c r="B126" s="83" t="n">
        <f aca="false">(Calculos!$B$121+Calculos!$B$122+Inputs!$C$63)*(1+Inputs!$C$66)*Calculos!$B$119</f>
        <v>27184013.4325</v>
      </c>
    </row>
    <row r="127" customFormat="false" ht="12.8" hidden="false" customHeight="false" outlineLevel="0" collapsed="false">
      <c r="A127" s="0" t="s">
        <v>357</v>
      </c>
      <c r="B127" s="83" t="n">
        <f aca="false">Calculos!$B$126+(Inputs!$C$64+Inputs!$C$65)*Calculos!$B$119</f>
        <v>29684013.4325</v>
      </c>
    </row>
    <row r="128" customFormat="false" ht="12.8" hidden="false" customHeight="false" outlineLevel="0" collapsed="false">
      <c r="A128" s="0" t="s">
        <v>358</v>
      </c>
      <c r="B128" s="83" t="n">
        <f aca="false">Calculos!$B$126/Inputs!$C$68</f>
        <v>2718401.34325</v>
      </c>
    </row>
    <row r="129" customFormat="false" ht="12.8" hidden="false" customHeight="false" outlineLevel="0" collapsed="false">
      <c r="A129" s="0" t="s">
        <v>359</v>
      </c>
      <c r="B129" s="83" t="n">
        <f aca="false">Calculos!$B$126*Inputs!$C$69</f>
        <v>2718401.34325</v>
      </c>
    </row>
    <row r="130" customFormat="false" ht="12.8" hidden="false" customHeight="false" outlineLevel="0" collapsed="false">
      <c r="A130" s="0" t="s">
        <v>360</v>
      </c>
      <c r="B130" s="83" t="n">
        <f aca="false">Calculos!$B$123*Inputs!$C$67</f>
        <v>1519440</v>
      </c>
    </row>
    <row r="132" customFormat="false" ht="18.45" hidden="false" customHeight="true" outlineLevel="0" collapsed="false">
      <c r="A132" s="45" t="s">
        <v>294</v>
      </c>
      <c r="B132" s="45" t="s">
        <v>309</v>
      </c>
      <c r="C132" s="45" t="s">
        <v>310</v>
      </c>
      <c r="D132" s="45" t="s">
        <v>311</v>
      </c>
      <c r="E132" s="45" t="s">
        <v>312</v>
      </c>
      <c r="F132" s="45" t="s">
        <v>313</v>
      </c>
      <c r="G132" s="45" t="s">
        <v>314</v>
      </c>
    </row>
    <row r="133" customFormat="false" ht="12.8" hidden="false" customHeight="false" outlineLevel="0" collapsed="false">
      <c r="A133" s="0" t="s">
        <v>315</v>
      </c>
      <c r="C133" s="0" t="n">
        <f aca="false">IF(AND(Inputs!$C$51&gt;0,Inputs!$C$52&gt;0),MIN((IF(Inputs!$C$11&gt;0,Inputs!$C$11*12,Inputs!$C$12))*Calculos!$B$116,Inputs!$C$51*Inputs!$C$52*12),(IF(Inputs!$C$11&gt;0,Inputs!$C$11*12,Inputs!$C$12))*Calculos!$B$116)</f>
        <v>15840</v>
      </c>
      <c r="D133" s="0" t="n">
        <f aca="false">IF(AND(Inputs!$C$51&gt;0,Inputs!$C$52&gt;0),MIN((IF(Inputs!$C$11&gt;0,Inputs!$C$11*12,Inputs!$C$12)*IF(Inputs!$C$17&gt;0,Inputs!$C$17,Inputs!$C$13/Inputs!$C$12))*Calculos!$B$116,Inputs!$C$51*Inputs!$C$52*12),(IF(Inputs!$C$11&gt;0,Inputs!$C$11*12,Inputs!$C$12)*IF(Inputs!$C$17&gt;0,Inputs!$C$17,Inputs!$C$13/Inputs!$C$12))*Calculos!$B$116)</f>
        <v>15840</v>
      </c>
      <c r="E133" s="0" t="n">
        <f aca="false">IF(AND(Inputs!$C$51&gt;0,Inputs!$C$52&gt;0),MIN((IF(Inputs!$C$11&gt;0,Inputs!$C$11*12,Inputs!$C$12)*IF(Inputs!$C$18&gt;0,Inputs!$C$18,Inputs!$C$14/Inputs!$C$12))*Calculos!$B$116,Inputs!$C$51*Inputs!$C$52*12),(IF(Inputs!$C$11&gt;0,Inputs!$C$11*12,Inputs!$C$12)*IF(Inputs!$C$18&gt;0,Inputs!$C$18,Inputs!$C$14/Inputs!$C$12))*Calculos!$B$116)</f>
        <v>15840</v>
      </c>
      <c r="F133" s="0" t="n">
        <f aca="false">IF(AND(Inputs!$C$51&gt;0,Inputs!$C$52&gt;0),MIN((IF(Inputs!$C$11&gt;0,Inputs!$C$11*12,Inputs!$C$12)*IF(Inputs!$C$19&gt;0,Inputs!$C$19,Inputs!$C$15/Inputs!$C$12))*Calculos!$B$116,Inputs!$C$51*Inputs!$C$52*12),(IF(Inputs!$C$11&gt;0,Inputs!$C$11*12,Inputs!$C$12)*IF(Inputs!$C$19&gt;0,Inputs!$C$19,Inputs!$C$15/Inputs!$C$12))*Calculos!$B$116)</f>
        <v>15840</v>
      </c>
      <c r="G133" s="0" t="n">
        <f aca="false">IF(AND(Inputs!$C$51&gt;0,Inputs!$C$52&gt;0),MIN((IF(Inputs!$C$11&gt;0,Inputs!$C$11*12,Inputs!$C$12)*IF(Inputs!$C$20&gt;0,Inputs!$C$20,Inputs!$C$16/Inputs!$C$12))*Calculos!$B$116,Inputs!$C$51*Inputs!$C$52*12),(IF(Inputs!$C$11&gt;0,Inputs!$C$11*12,Inputs!$C$12)*IF(Inputs!$C$20&gt;0,Inputs!$C$20,Inputs!$C$16/Inputs!$C$12))*Calculos!$B$116)</f>
        <v>15840</v>
      </c>
    </row>
    <row r="134" customFormat="false" ht="12.8" hidden="false" customHeight="false" outlineLevel="0" collapsed="false">
      <c r="A134" s="0" t="s">
        <v>361</v>
      </c>
      <c r="C134" s="0" t="n">
        <f aca="false">(1+Inputs!$C$7)^1</f>
        <v>1.03</v>
      </c>
      <c r="D134" s="0" t="n">
        <f aca="false">(1+Inputs!$C$7)^2</f>
        <v>1.0609</v>
      </c>
      <c r="E134" s="0" t="n">
        <f aca="false">(1+Inputs!$C$7)^3</f>
        <v>1.092727</v>
      </c>
      <c r="F134" s="0" t="n">
        <f aca="false">(1+Inputs!$C$7)^4</f>
        <v>1.12550881</v>
      </c>
      <c r="G134" s="0" t="n">
        <f aca="false">(1+Inputs!$C$7)^5</f>
        <v>1.1592740743</v>
      </c>
    </row>
    <row r="135" customFormat="false" ht="12.8" hidden="false" customHeight="false" outlineLevel="0" collapsed="false">
      <c r="A135" s="0" t="s">
        <v>316</v>
      </c>
      <c r="B135" s="83"/>
      <c r="C135" s="83" t="n">
        <f aca="false">Inputs!$C$10*Calculos!$B$115*Calculos!$C$134</f>
        <v>4326</v>
      </c>
      <c r="D135" s="83" t="n">
        <f aca="false">Inputs!$C$10*Calculos!$B$115*Calculos!$D$134</f>
        <v>4455.78</v>
      </c>
      <c r="E135" s="83" t="n">
        <f aca="false">Inputs!$C$10*Calculos!$B$115*Calculos!$E$134</f>
        <v>4589.4534</v>
      </c>
      <c r="F135" s="83" t="n">
        <f aca="false">Inputs!$C$10*Calculos!$B$115*Calculos!$F$134</f>
        <v>4727.137002</v>
      </c>
      <c r="G135" s="83" t="n">
        <f aca="false">Inputs!$C$10*Calculos!$B$115*Calculos!$G$134</f>
        <v>4868.95111206</v>
      </c>
    </row>
    <row r="136" customFormat="false" ht="12.8" hidden="false" customHeight="false" outlineLevel="0" collapsed="false">
      <c r="A136" s="0" t="s">
        <v>362</v>
      </c>
      <c r="B136" s="83"/>
      <c r="C136" s="83" t="n">
        <f aca="false">Calculos!$B$124*Calculos!$B$117*Calculos!$C$134</f>
        <v>2506.27222</v>
      </c>
      <c r="D136" s="83" t="n">
        <f aca="false">Calculos!$B$124*Calculos!$B$117*Calculos!$D$134</f>
        <v>2581.4603866</v>
      </c>
      <c r="E136" s="83" t="n">
        <f aca="false">Calculos!$B$124*Calculos!$B$117*Calculos!$E$134</f>
        <v>2658.904198198</v>
      </c>
      <c r="F136" s="83" t="n">
        <f aca="false">Calculos!$B$124*Calculos!$B$117*Calculos!$F$134</f>
        <v>2738.67132414394</v>
      </c>
      <c r="G136" s="83" t="n">
        <f aca="false">Calculos!$B$124*Calculos!$B$117*Calculos!$G$134</f>
        <v>2820.83146386826</v>
      </c>
    </row>
    <row r="137" customFormat="false" ht="12.8" hidden="false" customHeight="false" outlineLevel="0" collapsed="false">
      <c r="A137" s="0" t="s">
        <v>317</v>
      </c>
      <c r="B137" s="83"/>
      <c r="C137" s="83" t="n">
        <f aca="false">Calculos!$C$133*Calculos!$C$135</f>
        <v>68523840</v>
      </c>
      <c r="D137" s="83" t="n">
        <f aca="false">Calculos!$D$133*Calculos!$D$135</f>
        <v>70579555.2</v>
      </c>
      <c r="E137" s="83" t="n">
        <f aca="false">Calculos!$E$133*Calculos!$E$135</f>
        <v>72696941.856</v>
      </c>
      <c r="F137" s="83" t="n">
        <f aca="false">Calculos!$F$133*Calculos!$F$135</f>
        <v>74877850.11168</v>
      </c>
      <c r="G137" s="83" t="n">
        <f aca="false">Calculos!$G$133*Calculos!$G$135</f>
        <v>77124185.6150304</v>
      </c>
    </row>
    <row r="138" customFormat="false" ht="12.8" hidden="false" customHeight="false" outlineLevel="0" collapsed="false">
      <c r="A138" s="0" t="s">
        <v>318</v>
      </c>
      <c r="B138" s="83"/>
      <c r="C138" s="83" t="n">
        <f aca="false">Calculos!$C$133*Calculos!$C$136</f>
        <v>39699351.9648</v>
      </c>
      <c r="D138" s="83" t="n">
        <f aca="false">Calculos!$D$133*Calculos!$D$136</f>
        <v>40890332.523744</v>
      </c>
      <c r="E138" s="83" t="n">
        <f aca="false">Calculos!$E$133*Calculos!$E$136</f>
        <v>42117042.4994563</v>
      </c>
      <c r="F138" s="83" t="n">
        <f aca="false">Calculos!$F$133*Calculos!$F$136</f>
        <v>43380553.77444</v>
      </c>
      <c r="G138" s="83" t="n">
        <f aca="false">Calculos!$G$133*Calculos!$G$136</f>
        <v>44681970.3876732</v>
      </c>
    </row>
    <row r="139" customFormat="false" ht="12.8" hidden="false" customHeight="false" outlineLevel="0" collapsed="false">
      <c r="A139" s="0" t="s">
        <v>319</v>
      </c>
      <c r="B139" s="83"/>
      <c r="C139" s="83" t="n">
        <f aca="false">Calculos!$B$125*12*Calculos!$B$118*Calculos!$C$134</f>
        <v>47382678</v>
      </c>
      <c r="D139" s="83" t="n">
        <f aca="false">Calculos!$B$125*12*Calculos!$B$118*Calculos!$D$134</f>
        <v>48804158.34</v>
      </c>
      <c r="E139" s="83" t="n">
        <f aca="false">Calculos!$B$125*12*Calculos!$B$118*Calculos!$E$134</f>
        <v>50268283.0902</v>
      </c>
      <c r="F139" s="83" t="n">
        <f aca="false">Calculos!$B$125*12*Calculos!$B$118*Calculos!$F$134</f>
        <v>51776331.582906</v>
      </c>
      <c r="G139" s="83" t="n">
        <f aca="false">Calculos!$B$125*12*Calculos!$B$118*Calculos!$G$134</f>
        <v>53329621.5303932</v>
      </c>
    </row>
    <row r="140" customFormat="false" ht="12.8" hidden="false" customHeight="false" outlineLevel="0" collapsed="false">
      <c r="A140" s="0" t="s">
        <v>320</v>
      </c>
      <c r="B140" s="83"/>
      <c r="C140" s="83" t="n">
        <f aca="false">Calculos!$C$137-Calculos!$C$138-Calculos!$C$139</f>
        <v>-18558189.9648</v>
      </c>
      <c r="D140" s="83" t="n">
        <f aca="false">Calculos!$D$137-Calculos!$D$138-Calculos!$D$139</f>
        <v>-19114935.663744</v>
      </c>
      <c r="E140" s="83" t="n">
        <f aca="false">Calculos!$E$137-Calculos!$E$138-Calculos!$E$139</f>
        <v>-19688383.7336563</v>
      </c>
      <c r="F140" s="83" t="n">
        <f aca="false">Calculos!$F$137-Calculos!$F$138-Calculos!$F$139</f>
        <v>-20279035.245666</v>
      </c>
      <c r="G140" s="83" t="n">
        <f aca="false">Calculos!$G$137-Calculos!$G$138-Calculos!$G$139</f>
        <v>-20887406.303036</v>
      </c>
    </row>
    <row r="141" customFormat="false" ht="12.8" hidden="false" customHeight="false" outlineLevel="0" collapsed="false">
      <c r="A141" s="0" t="s">
        <v>321</v>
      </c>
      <c r="B141" s="83"/>
      <c r="C141" s="83" t="n">
        <f aca="false">Calculos!$B$128</f>
        <v>2718401.34325</v>
      </c>
      <c r="D141" s="83" t="n">
        <f aca="false">Calculos!$B$128</f>
        <v>2718401.34325</v>
      </c>
      <c r="E141" s="83" t="n">
        <f aca="false">Calculos!$B$128</f>
        <v>2718401.34325</v>
      </c>
      <c r="F141" s="83" t="n">
        <f aca="false">Calculos!$B$128</f>
        <v>2718401.34325</v>
      </c>
      <c r="G141" s="83" t="n">
        <f aca="false">Calculos!$B$128</f>
        <v>2718401.34325</v>
      </c>
    </row>
    <row r="142" customFormat="false" ht="12.8" hidden="false" customHeight="false" outlineLevel="0" collapsed="false">
      <c r="A142" s="0" t="s">
        <v>322</v>
      </c>
      <c r="B142" s="83"/>
      <c r="C142" s="83" t="n">
        <f aca="false">Calculos!$C$140-Calculos!$C$141</f>
        <v>-21276591.30805</v>
      </c>
      <c r="D142" s="83" t="n">
        <f aca="false">Calculos!$D$140-Calculos!$D$141</f>
        <v>-21833337.006994</v>
      </c>
      <c r="E142" s="83" t="n">
        <f aca="false">Calculos!$E$140-Calculos!$E$141</f>
        <v>-22406785.0769063</v>
      </c>
      <c r="F142" s="83" t="n">
        <f aca="false">Calculos!$F$140-Calculos!$F$141</f>
        <v>-22997436.588916</v>
      </c>
      <c r="G142" s="83" t="n">
        <f aca="false">Calculos!$G$140-Calculos!$G$141</f>
        <v>-23605807.646286</v>
      </c>
    </row>
    <row r="143" customFormat="false" ht="12.8" hidden="false" customHeight="false" outlineLevel="0" collapsed="false">
      <c r="A143" s="0" t="s">
        <v>323</v>
      </c>
      <c r="B143" s="83"/>
      <c r="C143" s="83" t="n">
        <f aca="false">0</f>
        <v>0</v>
      </c>
      <c r="D143" s="83" t="n">
        <f aca="false">Calculos!$C$146</f>
        <v>21276591.30805</v>
      </c>
      <c r="E143" s="83" t="n">
        <f aca="false">Calculos!$D$146</f>
        <v>43109928.315044</v>
      </c>
      <c r="F143" s="83" t="n">
        <f aca="false">Calculos!$E$146</f>
        <v>65516713.3919503</v>
      </c>
      <c r="G143" s="83" t="n">
        <f aca="false">Calculos!$F$146</f>
        <v>88514149.9808663</v>
      </c>
    </row>
    <row r="144" customFormat="false" ht="12.8" hidden="false" customHeight="false" outlineLevel="0" collapsed="false">
      <c r="A144" s="0" t="s">
        <v>324</v>
      </c>
      <c r="B144" s="83"/>
      <c r="C144" s="83" t="n">
        <f aca="false">MAX(0,Calculos!$C$142-Calculos!$C$143)</f>
        <v>0</v>
      </c>
      <c r="D144" s="83" t="n">
        <f aca="false">MAX(0,Calculos!$D$142-Calculos!$D$143)</f>
        <v>0</v>
      </c>
      <c r="E144" s="83" t="n">
        <f aca="false">MAX(0,Calculos!$E$142-Calculos!$E$143)</f>
        <v>0</v>
      </c>
      <c r="F144" s="83" t="n">
        <f aca="false">MAX(0,Calculos!$F$142-Calculos!$F$143)</f>
        <v>0</v>
      </c>
      <c r="G144" s="83" t="n">
        <f aca="false">MAX(0,Calculos!$G$142-Calculos!$G$143)</f>
        <v>0</v>
      </c>
    </row>
    <row r="145" customFormat="false" ht="12.8" hidden="false" customHeight="false" outlineLevel="0" collapsed="false">
      <c r="A145" s="0" t="s">
        <v>325</v>
      </c>
      <c r="B145" s="83"/>
      <c r="C145" s="83" t="n">
        <f aca="false">Calculos!$C$144*Inputs!$C$21</f>
        <v>0</v>
      </c>
      <c r="D145" s="83" t="n">
        <f aca="false">Calculos!$D$144*Inputs!$C$22</f>
        <v>0</v>
      </c>
      <c r="E145" s="83" t="n">
        <f aca="false">Calculos!$E$144*Inputs!$C$23</f>
        <v>0</v>
      </c>
      <c r="F145" s="83" t="n">
        <f aca="false">Calculos!$F$144*Inputs!$C$24</f>
        <v>0</v>
      </c>
      <c r="G145" s="83" t="n">
        <f aca="false">Calculos!$G$144*Inputs!$C$25</f>
        <v>0</v>
      </c>
    </row>
    <row r="146" customFormat="false" ht="12.8" hidden="false" customHeight="false" outlineLevel="0" collapsed="false">
      <c r="A146" s="0" t="s">
        <v>326</v>
      </c>
      <c r="B146" s="83"/>
      <c r="C146" s="83" t="n">
        <f aca="false">MAX(0,Calculos!$C$143-Calculos!$C$142)</f>
        <v>21276591.30805</v>
      </c>
      <c r="D146" s="83" t="n">
        <f aca="false">MAX(0,Calculos!$D$143-Calculos!$D$142)</f>
        <v>43109928.315044</v>
      </c>
      <c r="E146" s="83" t="n">
        <f aca="false">MAX(0,Calculos!$E$143-Calculos!$E$142)</f>
        <v>65516713.3919503</v>
      </c>
      <c r="F146" s="83" t="n">
        <f aca="false">MAX(0,Calculos!$F$143-Calculos!$F$142)</f>
        <v>88514149.9808663</v>
      </c>
      <c r="G146" s="83" t="n">
        <f aca="false">MAX(0,Calculos!$G$143-Calculos!$G$142)</f>
        <v>112119957.627152</v>
      </c>
    </row>
    <row r="147" customFormat="false" ht="12.8" hidden="false" customHeight="false" outlineLevel="0" collapsed="false">
      <c r="A147" s="0" t="s">
        <v>327</v>
      </c>
      <c r="B147" s="83"/>
      <c r="C147" s="83" t="n">
        <f aca="false">Calculos!$C$137*Inputs!$C$47/365+Calculos!$C$138*Inputs!$C$48/365-Calculos!$C$138*Inputs!$C$49/365</f>
        <v>7263576.65608767</v>
      </c>
      <c r="D147" s="83" t="n">
        <f aca="false">Calculos!$D$137*Inputs!$C$47/365+Calculos!$D$138*Inputs!$C$48/365-Calculos!$D$138*Inputs!$C$49/365</f>
        <v>7481483.9557703</v>
      </c>
      <c r="E147" s="83" t="n">
        <f aca="false">Calculos!$E$137*Inputs!$C$47/365+Calculos!$E$138*Inputs!$C$48/365-Calculos!$E$138*Inputs!$C$49/365</f>
        <v>7705928.47444341</v>
      </c>
      <c r="F147" s="83" t="n">
        <f aca="false">Calculos!$F$137*Inputs!$C$47/365+Calculos!$F$138*Inputs!$C$48/365-Calculos!$F$138*Inputs!$C$49/365</f>
        <v>7937106.32867671</v>
      </c>
      <c r="G147" s="83" t="n">
        <f aca="false">Calculos!$G$137*Inputs!$C$47/365+Calculos!$G$138*Inputs!$C$48/365-Calculos!$G$138*Inputs!$C$49/365</f>
        <v>8175219.51853702</v>
      </c>
    </row>
    <row r="148" customFormat="false" ht="12.8" hidden="false" customHeight="false" outlineLevel="0" collapsed="false">
      <c r="A148" s="0" t="s">
        <v>328</v>
      </c>
      <c r="B148" s="83"/>
      <c r="C148" s="83" t="n">
        <f aca="false">Calculos!$C$147-Calculos!$C$147</f>
        <v>0</v>
      </c>
      <c r="D148" s="83" t="n">
        <f aca="false">Calculos!$D$147-Calculos!$C$147</f>
        <v>217907.299682629</v>
      </c>
      <c r="E148" s="83" t="n">
        <f aca="false">Calculos!$E$147-Calculos!$D$147</f>
        <v>224444.51867311</v>
      </c>
      <c r="F148" s="83" t="n">
        <f aca="false">Calculos!$F$147-Calculos!$E$147</f>
        <v>231177.854233301</v>
      </c>
      <c r="G148" s="83" t="n">
        <f aca="false">Calculos!$G$147-Calculos!$F$147</f>
        <v>238113.189860302</v>
      </c>
    </row>
    <row r="149" customFormat="false" ht="12.8" hidden="false" customHeight="false" outlineLevel="0" collapsed="false">
      <c r="A149" s="0" t="s">
        <v>329</v>
      </c>
      <c r="B149" s="83"/>
      <c r="C149" s="83" t="n">
        <f aca="false">0</f>
        <v>0</v>
      </c>
      <c r="D149" s="83" t="n">
        <f aca="false">0</f>
        <v>0</v>
      </c>
      <c r="E149" s="83" t="n">
        <f aca="false">0</f>
        <v>0</v>
      </c>
      <c r="F149" s="83" t="n">
        <f aca="false">0</f>
        <v>0</v>
      </c>
      <c r="G149" s="83" t="n">
        <f aca="false">Calculos!$B$129-MAX(0,(Calculos!$B$129-MAX(0,Calculos!$B$126-Calculos!$B$128*5)))*Inputs!$C$25+Calculos!$G$147+Calculos!$B$130</f>
        <v>12413060.861787</v>
      </c>
    </row>
    <row r="150" customFormat="false" ht="12.8" hidden="false" customHeight="false" outlineLevel="0" collapsed="false">
      <c r="A150" s="0" t="s">
        <v>330</v>
      </c>
      <c r="B150" s="83" t="n">
        <f aca="false">-(Calculos!$B$127+Calculos!$B$130+Calculos!$C$147)</f>
        <v>-38467030.0885877</v>
      </c>
      <c r="C150" s="83" t="n">
        <f aca="false">Calculos!$C$140-Calculos!$C$145-Calculos!$C$148+Calculos!$C$149</f>
        <v>-18558189.9648</v>
      </c>
      <c r="D150" s="83" t="n">
        <f aca="false">Calculos!$D$140-Calculos!$D$145-Calculos!$D$148+Calculos!$D$149</f>
        <v>-19332842.9634266</v>
      </c>
      <c r="E150" s="83" t="n">
        <f aca="false">Calculos!$E$140-Calculos!$E$145-Calculos!$E$148+Calculos!$E$149</f>
        <v>-19912828.2523294</v>
      </c>
      <c r="F150" s="83" t="n">
        <f aca="false">Calculos!$F$140-Calculos!$F$145-Calculos!$F$148+Calculos!$F$149</f>
        <v>-20510213.0998993</v>
      </c>
      <c r="G150" s="83" t="n">
        <f aca="false">Calculos!$G$140-Calculos!$G$145-Calculos!$G$148+Calculos!$G$149</f>
        <v>-8712458.63110929</v>
      </c>
    </row>
    <row r="151" customFormat="false" ht="12.8" hidden="false" customHeight="false" outlineLevel="0" collapsed="false">
      <c r="A151" s="0" t="s">
        <v>331</v>
      </c>
      <c r="B151" s="83" t="n">
        <v>1</v>
      </c>
      <c r="C151" s="83" t="n">
        <f aca="false">1/(1+Inputs!$C$6)^1</f>
        <v>0.830151087497925</v>
      </c>
      <c r="D151" s="83" t="n">
        <f aca="false">1/(1+Inputs!$C$6)^2</f>
        <v>0.689150828073987</v>
      </c>
      <c r="E151" s="83" t="n">
        <f aca="false">1/(1+Inputs!$C$6)^3</f>
        <v>0.572099309375715</v>
      </c>
      <c r="F151" s="83" t="n">
        <f aca="false">1/(1+Inputs!$C$6)^4</f>
        <v>0.474928863835062</v>
      </c>
      <c r="G151" s="83" t="n">
        <f aca="false">1/(1+Inputs!$C$6)^5</f>
        <v>0.39426271279683</v>
      </c>
    </row>
    <row r="152" customFormat="false" ht="12.8" hidden="false" customHeight="false" outlineLevel="0" collapsed="false">
      <c r="A152" s="0" t="s">
        <v>332</v>
      </c>
      <c r="B152" s="83" t="n">
        <f aca="false">Calculos!$B$150</f>
        <v>-38467030.0885877</v>
      </c>
      <c r="C152" s="83" t="n">
        <f aca="false">Calculos!$C$150*Calculos!$C$151</f>
        <v>-15406101.5812718</v>
      </c>
      <c r="D152" s="83" t="n">
        <f aca="false">Calculos!$D$150*Calculos!$D$151</f>
        <v>-13323244.7372698</v>
      </c>
      <c r="E152" s="83" t="n">
        <f aca="false">Calculos!$E$150*Calculos!$E$151</f>
        <v>-11392115.2908749</v>
      </c>
      <c r="F152" s="83" t="n">
        <f aca="false">Calculos!$F$150*Calculos!$F$151</f>
        <v>-9740892.20455019</v>
      </c>
      <c r="G152" s="83" t="n">
        <f aca="false">Calculos!$G$150*Calculos!$G$151</f>
        <v>-3434997.57503131</v>
      </c>
    </row>
    <row r="153" customFormat="false" ht="12.8" hidden="false" customHeight="false" outlineLevel="0" collapsed="false">
      <c r="A153" s="0" t="s">
        <v>333</v>
      </c>
      <c r="B153" s="83" t="n">
        <f aca="false">Calculos!$B$150</f>
        <v>-38467030.0885877</v>
      </c>
      <c r="C153" s="83" t="n">
        <f aca="false">Calculos!$B$153+Calculos!$C$150</f>
        <v>-57025220.0533877</v>
      </c>
      <c r="D153" s="83" t="n">
        <f aca="false">Calculos!$C$153+Calculos!$D$150</f>
        <v>-76358063.0168143</v>
      </c>
      <c r="E153" s="83" t="n">
        <f aca="false">Calculos!$D$153+Calculos!$E$150</f>
        <v>-96270891.2691437</v>
      </c>
      <c r="F153" s="83" t="n">
        <f aca="false">Calculos!$E$153+Calculos!$F$150</f>
        <v>-116781104.369043</v>
      </c>
      <c r="G153" s="83" t="n">
        <f aca="false">Calculos!$F$153+Calculos!$G$150</f>
        <v>-125493563.000152</v>
      </c>
    </row>
    <row r="154" customFormat="false" ht="12.8" hidden="false" customHeight="false" outlineLevel="0" collapsed="false">
      <c r="A154" s="0" t="s">
        <v>334</v>
      </c>
      <c r="B154" s="83" t="n">
        <f aca="false">Calculos!$B$152</f>
        <v>-38467030.0885877</v>
      </c>
      <c r="C154" s="83" t="n">
        <f aca="false">Calculos!$B$154+Calculos!$C$152</f>
        <v>-53873131.6698595</v>
      </c>
      <c r="D154" s="83" t="n">
        <f aca="false">Calculos!$C$154+Calculos!$D$152</f>
        <v>-67196376.4071293</v>
      </c>
      <c r="E154" s="83" t="n">
        <f aca="false">Calculos!$D$154+Calculos!$E$152</f>
        <v>-78588491.6980042</v>
      </c>
      <c r="F154" s="83" t="n">
        <f aca="false">Calculos!$E$154+Calculos!$F$152</f>
        <v>-88329383.9025544</v>
      </c>
      <c r="G154" s="83" t="n">
        <f aca="false">Calculos!$F$154+Calculos!$G$152</f>
        <v>-91764381.4775857</v>
      </c>
    </row>
    <row r="156" customFormat="false" ht="12.8" hidden="false" customHeight="false" outlineLevel="0" collapsed="false">
      <c r="A156" s="0" t="s">
        <v>3</v>
      </c>
      <c r="B156" s="83" t="n">
        <f aca="false">-Calculos!$B$150</f>
        <v>38467030.0885877</v>
      </c>
    </row>
    <row r="157" customFormat="false" ht="12.8" hidden="false" customHeight="false" outlineLevel="0" collapsed="false">
      <c r="A157" s="0" t="s">
        <v>7</v>
      </c>
      <c r="B157" s="83" t="n">
        <f aca="false">SUM(Calculos!$B$152:$G$152)</f>
        <v>-91764381.4775857</v>
      </c>
    </row>
    <row r="158" customFormat="false" ht="12.8" hidden="false" customHeight="false" outlineLevel="0" collapsed="false">
      <c r="A158" s="0" t="s">
        <v>9</v>
      </c>
      <c r="B158" s="84" t="e">
        <f aca="false">IFERROR(IRR(Calculos!$B$150:$G$150),NA())</f>
        <v>#N/A</v>
      </c>
    </row>
    <row r="159" customFormat="false" ht="12.8" hidden="false" customHeight="false" outlineLevel="0" collapsed="false">
      <c r="A159" s="0" t="s">
        <v>10</v>
      </c>
      <c r="B159" s="0" t="e">
        <f aca="false">IFERROR(IF(Calculos!$C$154&gt;=0,0+(-Calculos!$B$154/Calculos!$C$152),IF(Calculos!$D$154&gt;=0,1+(-Calculos!$C$154/Calculos!$D$152),IF(Calculos!$E$154&gt;=0,2+(-Calculos!$D$154/Calculos!$E$152),IF(Calculos!$F$154&gt;=0,3+(-Calculos!$E$154/Calculos!$F$152),IF(Calculos!$G$154&gt;=0,4+(-Calculos!$F$154/Calculos!$G$152),NA()))))),NA())</f>
        <v>#N/A</v>
      </c>
    </row>
    <row r="160" customFormat="false" ht="12.8" hidden="false" customHeight="false" outlineLevel="0" collapsed="false">
      <c r="A160" s="0" t="s">
        <v>12</v>
      </c>
      <c r="B160" s="0" t="n">
        <f aca="false">(Calculos!$C$152+Calculos!$D$152+Calculos!$E$152+Calculos!$F$152+Calculos!$G$152)/(-Calculos!$B$150)</f>
        <v>-1.38553330647718</v>
      </c>
    </row>
    <row r="161" customFormat="false" ht="12.8" hidden="false" customHeight="false" outlineLevel="0" collapsed="false">
      <c r="A161" s="0" t="s">
        <v>5</v>
      </c>
      <c r="B161" s="83" t="n">
        <f aca="false">-MIN(Calculos!$B$153:$G$153)</f>
        <v>125493563.000152</v>
      </c>
    </row>
    <row r="162" customFormat="false" ht="12.8" hidden="false" customHeight="false" outlineLevel="0" collapsed="false">
      <c r="A162" s="0" t="s">
        <v>363</v>
      </c>
      <c r="B162" s="0" t="n">
        <f aca="false">IF((Calculos!$C$135-Calculos!$C$136)&gt;0,Calculos!$C$139/(Calculos!$C$135-Calculos!$C$136)/12,NA())</f>
        <v>2169.86108768423</v>
      </c>
    </row>
    <row r="163" customFormat="false" ht="12.8" hidden="false" customHeight="false" outlineLevel="0" collapsed="false">
      <c r="A163" s="0" t="s">
        <v>364</v>
      </c>
      <c r="B163" s="0" t="n">
        <f aca="false">IF(AND(Inputs!$C$51&gt;0,Inputs!$C$52&gt;0),Inputs!$C$51*Inputs!$C$52*12,NA())</f>
        <v>15840</v>
      </c>
    </row>
    <row r="164" customFormat="false" ht="12.8" hidden="false" customHeight="false" outlineLevel="0" collapsed="false">
      <c r="A164" s="0" t="s">
        <v>365</v>
      </c>
      <c r="B164" s="0" t="n">
        <f aca="false">IFERROR(Calculos!$G$133/Calculos!$B$163,NA())</f>
        <v>1</v>
      </c>
    </row>
    <row r="165" customFormat="false" ht="12.8" hidden="false" customHeight="false" outlineLevel="0" collapsed="false">
      <c r="A165" s="0" t="s">
        <v>366</v>
      </c>
      <c r="B165" s="0" t="n">
        <f aca="false">IFERROR(Calculos!$B$162*12/Calculos!$B$163,NA())</f>
        <v>1.64383415733653</v>
      </c>
    </row>
    <row r="166" customFormat="false" ht="12.8" hidden="false" customHeight="false" outlineLevel="0" collapsed="false">
      <c r="A166" s="0" t="s">
        <v>367</v>
      </c>
      <c r="B166" s="0" t="n">
        <f aca="false">IFERROR(Calculos!$B$157/Calculos!$B$161,NA())</f>
        <v>-0.731227795942604</v>
      </c>
    </row>
    <row r="169" customFormat="false" ht="12.8" hidden="false" customHeight="false" outlineLevel="0" collapsed="false">
      <c r="A169" s="81" t="s">
        <v>370</v>
      </c>
      <c r="B169" s="81"/>
      <c r="C169" s="81"/>
      <c r="D169" s="81"/>
      <c r="E169" s="81"/>
      <c r="F169" s="81"/>
      <c r="G169" s="81"/>
    </row>
    <row r="170" customFormat="false" ht="12.8" hidden="false" customHeight="false" outlineLevel="0" collapsed="false">
      <c r="A170" s="0" t="s">
        <v>316</v>
      </c>
      <c r="B170" s="85" t="n">
        <f aca="false">Inputs!$C$80</f>
        <v>1.2</v>
      </c>
    </row>
    <row r="171" customFormat="false" ht="12.8" hidden="false" customHeight="false" outlineLevel="0" collapsed="false">
      <c r="A171" s="0" t="s">
        <v>315</v>
      </c>
      <c r="B171" s="82" t="n">
        <f aca="false">Inputs!$C$81</f>
        <v>1</v>
      </c>
    </row>
    <row r="172" customFormat="false" ht="12.8" hidden="false" customHeight="false" outlineLevel="0" collapsed="false">
      <c r="A172" s="0" t="s">
        <v>348</v>
      </c>
      <c r="B172" s="82" t="n">
        <f aca="false">Inputs!$C$82</f>
        <v>1</v>
      </c>
    </row>
    <row r="173" customFormat="false" ht="12.8" hidden="false" customHeight="false" outlineLevel="0" collapsed="false">
      <c r="A173" s="0" t="s">
        <v>349</v>
      </c>
      <c r="B173" s="82" t="n">
        <f aca="false">Inputs!$C$83</f>
        <v>1</v>
      </c>
    </row>
    <row r="174" customFormat="false" ht="12.8" hidden="false" customHeight="false" outlineLevel="0" collapsed="false">
      <c r="A174" s="0" t="s">
        <v>350</v>
      </c>
      <c r="B174" s="85" t="n">
        <f aca="false">Inputs!$C$84</f>
        <v>0.8</v>
      </c>
    </row>
    <row r="176" customFormat="false" ht="12.8" hidden="false" customHeight="false" outlineLevel="0" collapsed="false">
      <c r="A176" s="0" t="s">
        <v>351</v>
      </c>
      <c r="B176" s="83" t="n">
        <f aca="false">IF(Inputs!$C$61&gt;0,Inputs!$C$61,Inputs!$C$53+Inputs!$C$54+Inputs!$C$55+Inputs!$C$56+Inputs!$C$57+Inputs!$C$58+Inputs!$C$59+Inputs!$C$60)</f>
        <v>10120237</v>
      </c>
    </row>
    <row r="177" customFormat="false" ht="12.8" hidden="false" customHeight="false" outlineLevel="0" collapsed="false">
      <c r="A177" s="0" t="s">
        <v>352</v>
      </c>
      <c r="B177" s="83" t="n">
        <f aca="false">Calculos!$B$176*Inputs!$C$62</f>
        <v>1518035.55</v>
      </c>
    </row>
    <row r="178" customFormat="false" ht="12.8" hidden="false" customHeight="false" outlineLevel="0" collapsed="false">
      <c r="A178" s="0" t="s">
        <v>353</v>
      </c>
      <c r="B178" s="83" t="n">
        <f aca="false">IF(Inputs!$C$39&gt;0,Inputs!$C$39,Inputs!$C$37*Inputs!$C$38)</f>
        <v>759720</v>
      </c>
    </row>
    <row r="179" customFormat="false" ht="12.8" hidden="false" customHeight="false" outlineLevel="0" collapsed="false">
      <c r="A179" s="0" t="s">
        <v>354</v>
      </c>
      <c r="B179" s="83" t="n">
        <f aca="false">((Inputs!$C$26*Inputs!$C$34+Inputs!$C$27*Inputs!$C$35+Inputs!$C$28*Inputs!$C$36+Inputs!$C$29)*(1+Inputs!$C$33)+Inputs!$C$30+Inputs!$C$31+Inputs!$C$32)</f>
        <v>2433.274</v>
      </c>
    </row>
    <row r="180" customFormat="false" ht="12.8" hidden="false" customHeight="false" outlineLevel="0" collapsed="false">
      <c r="A180" s="0" t="s">
        <v>355</v>
      </c>
      <c r="B180" s="83" t="n">
        <f aca="false">(Calculos!$B$178+IF(Inputs!$C$50&gt;0,Inputs!$C$50,Inputs!$C$40*Inputs!$C$41)+Inputs!$C$42+Inputs!$C$43+Inputs!$C$44+Inputs!$C$45+Inputs!$C$46)</f>
        <v>3833550</v>
      </c>
    </row>
    <row r="181" customFormat="false" ht="12.8" hidden="false" customHeight="false" outlineLevel="0" collapsed="false">
      <c r="A181" s="0" t="s">
        <v>356</v>
      </c>
      <c r="B181" s="83" t="n">
        <f aca="false">(Calculos!$B$176+Calculos!$B$177+Inputs!$C$63)*(1+Inputs!$C$66)*Calculos!$B$174</f>
        <v>21747210.746</v>
      </c>
    </row>
    <row r="182" customFormat="false" ht="12.8" hidden="false" customHeight="false" outlineLevel="0" collapsed="false">
      <c r="A182" s="0" t="s">
        <v>357</v>
      </c>
      <c r="B182" s="83" t="n">
        <f aca="false">Calculos!$B$181+(Inputs!$C$64+Inputs!$C$65)*Calculos!$B$174</f>
        <v>23747210.746</v>
      </c>
    </row>
    <row r="183" customFormat="false" ht="12.8" hidden="false" customHeight="false" outlineLevel="0" collapsed="false">
      <c r="A183" s="0" t="s">
        <v>358</v>
      </c>
      <c r="B183" s="83" t="n">
        <f aca="false">Calculos!$B$181/Inputs!$C$68</f>
        <v>2174721.0746</v>
      </c>
    </row>
    <row r="184" customFormat="false" ht="12.8" hidden="false" customHeight="false" outlineLevel="0" collapsed="false">
      <c r="A184" s="0" t="s">
        <v>359</v>
      </c>
      <c r="B184" s="83" t="n">
        <f aca="false">Calculos!$B$181*Inputs!$C$69</f>
        <v>2174721.0746</v>
      </c>
    </row>
    <row r="185" customFormat="false" ht="12.8" hidden="false" customHeight="false" outlineLevel="0" collapsed="false">
      <c r="A185" s="0" t="s">
        <v>360</v>
      </c>
      <c r="B185" s="83" t="n">
        <f aca="false">Calculos!$B$178*Inputs!$C$67</f>
        <v>1519440</v>
      </c>
    </row>
    <row r="187" customFormat="false" ht="18.45" hidden="false" customHeight="true" outlineLevel="0" collapsed="false">
      <c r="A187" s="45" t="s">
        <v>294</v>
      </c>
      <c r="B187" s="45" t="s">
        <v>309</v>
      </c>
      <c r="C187" s="45" t="s">
        <v>310</v>
      </c>
      <c r="D187" s="45" t="s">
        <v>311</v>
      </c>
      <c r="E187" s="45" t="s">
        <v>312</v>
      </c>
      <c r="F187" s="45" t="s">
        <v>313</v>
      </c>
      <c r="G187" s="45" t="s">
        <v>314</v>
      </c>
    </row>
    <row r="188" customFormat="false" ht="12.8" hidden="false" customHeight="false" outlineLevel="0" collapsed="false">
      <c r="A188" s="0" t="s">
        <v>315</v>
      </c>
      <c r="C188" s="0" t="n">
        <f aca="false">IF(AND(Inputs!$C$51&gt;0,Inputs!$C$52&gt;0),MIN((IF(Inputs!$C$11&gt;0,Inputs!$C$11*12,Inputs!$C$12))*Calculos!$B$171,Inputs!$C$51*Inputs!$C$52*12),(IF(Inputs!$C$11&gt;0,Inputs!$C$11*12,Inputs!$C$12))*Calculos!$B$171)</f>
        <v>15840</v>
      </c>
      <c r="D188" s="0" t="n">
        <f aca="false">IF(AND(Inputs!$C$51&gt;0,Inputs!$C$52&gt;0),MIN((IF(Inputs!$C$11&gt;0,Inputs!$C$11*12,Inputs!$C$12)*IF(Inputs!$C$17&gt;0,Inputs!$C$17,Inputs!$C$13/Inputs!$C$12))*Calculos!$B$171,Inputs!$C$51*Inputs!$C$52*12),(IF(Inputs!$C$11&gt;0,Inputs!$C$11*12,Inputs!$C$12)*IF(Inputs!$C$17&gt;0,Inputs!$C$17,Inputs!$C$13/Inputs!$C$12))*Calculos!$B$171)</f>
        <v>15840</v>
      </c>
      <c r="E188" s="0" t="n">
        <f aca="false">IF(AND(Inputs!$C$51&gt;0,Inputs!$C$52&gt;0),MIN((IF(Inputs!$C$11&gt;0,Inputs!$C$11*12,Inputs!$C$12)*IF(Inputs!$C$18&gt;0,Inputs!$C$18,Inputs!$C$14/Inputs!$C$12))*Calculos!$B$171,Inputs!$C$51*Inputs!$C$52*12),(IF(Inputs!$C$11&gt;0,Inputs!$C$11*12,Inputs!$C$12)*IF(Inputs!$C$18&gt;0,Inputs!$C$18,Inputs!$C$14/Inputs!$C$12))*Calculos!$B$171)</f>
        <v>15840</v>
      </c>
      <c r="F188" s="0" t="n">
        <f aca="false">IF(AND(Inputs!$C$51&gt;0,Inputs!$C$52&gt;0),MIN((IF(Inputs!$C$11&gt;0,Inputs!$C$11*12,Inputs!$C$12)*IF(Inputs!$C$19&gt;0,Inputs!$C$19,Inputs!$C$15/Inputs!$C$12))*Calculos!$B$171,Inputs!$C$51*Inputs!$C$52*12),(IF(Inputs!$C$11&gt;0,Inputs!$C$11*12,Inputs!$C$12)*IF(Inputs!$C$19&gt;0,Inputs!$C$19,Inputs!$C$15/Inputs!$C$12))*Calculos!$B$171)</f>
        <v>15840</v>
      </c>
      <c r="G188" s="0" t="n">
        <f aca="false">IF(AND(Inputs!$C$51&gt;0,Inputs!$C$52&gt;0),MIN((IF(Inputs!$C$11&gt;0,Inputs!$C$11*12,Inputs!$C$12)*IF(Inputs!$C$20&gt;0,Inputs!$C$20,Inputs!$C$16/Inputs!$C$12))*Calculos!$B$171,Inputs!$C$51*Inputs!$C$52*12),(IF(Inputs!$C$11&gt;0,Inputs!$C$11*12,Inputs!$C$12)*IF(Inputs!$C$20&gt;0,Inputs!$C$20,Inputs!$C$16/Inputs!$C$12))*Calculos!$B$171)</f>
        <v>15840</v>
      </c>
    </row>
    <row r="189" customFormat="false" ht="12.8" hidden="false" customHeight="false" outlineLevel="0" collapsed="false">
      <c r="A189" s="0" t="s">
        <v>361</v>
      </c>
      <c r="C189" s="0" t="n">
        <f aca="false">(1+Inputs!$C$7)^1</f>
        <v>1.03</v>
      </c>
      <c r="D189" s="0" t="n">
        <f aca="false">(1+Inputs!$C$7)^2</f>
        <v>1.0609</v>
      </c>
      <c r="E189" s="0" t="n">
        <f aca="false">(1+Inputs!$C$7)^3</f>
        <v>1.092727</v>
      </c>
      <c r="F189" s="0" t="n">
        <f aca="false">(1+Inputs!$C$7)^4</f>
        <v>1.12550881</v>
      </c>
      <c r="G189" s="0" t="n">
        <f aca="false">(1+Inputs!$C$7)^5</f>
        <v>1.1592740743</v>
      </c>
    </row>
    <row r="190" customFormat="false" ht="12.8" hidden="false" customHeight="false" outlineLevel="0" collapsed="false">
      <c r="A190" s="0" t="s">
        <v>316</v>
      </c>
      <c r="B190" s="83"/>
      <c r="C190" s="83" t="n">
        <f aca="false">Inputs!$C$10*Calculos!$B$170*Calculos!$C$189</f>
        <v>5191.2</v>
      </c>
      <c r="D190" s="83" t="n">
        <f aca="false">Inputs!$C$10*Calculos!$B$170*Calculos!$D$189</f>
        <v>5346.936</v>
      </c>
      <c r="E190" s="83" t="n">
        <f aca="false">Inputs!$C$10*Calculos!$B$170*Calculos!$E$189</f>
        <v>5507.34408</v>
      </c>
      <c r="F190" s="83" t="n">
        <f aca="false">Inputs!$C$10*Calculos!$B$170*Calculos!$F$189</f>
        <v>5672.5644024</v>
      </c>
      <c r="G190" s="83" t="n">
        <f aca="false">Inputs!$C$10*Calculos!$B$170*Calculos!$G$189</f>
        <v>5842.741334472</v>
      </c>
    </row>
    <row r="191" customFormat="false" ht="12.8" hidden="false" customHeight="false" outlineLevel="0" collapsed="false">
      <c r="A191" s="0" t="s">
        <v>362</v>
      </c>
      <c r="B191" s="83"/>
      <c r="C191" s="83" t="n">
        <f aca="false">Calculos!$B$179*Calculos!$B$172*Calculos!$C$189</f>
        <v>2506.27222</v>
      </c>
      <c r="D191" s="83" t="n">
        <f aca="false">Calculos!$B$179*Calculos!$B$172*Calculos!$D$189</f>
        <v>2581.4603866</v>
      </c>
      <c r="E191" s="83" t="n">
        <f aca="false">Calculos!$B$179*Calculos!$B$172*Calculos!$E$189</f>
        <v>2658.904198198</v>
      </c>
      <c r="F191" s="83" t="n">
        <f aca="false">Calculos!$B$179*Calculos!$B$172*Calculos!$F$189</f>
        <v>2738.67132414394</v>
      </c>
      <c r="G191" s="83" t="n">
        <f aca="false">Calculos!$B$179*Calculos!$B$172*Calculos!$G$189</f>
        <v>2820.83146386826</v>
      </c>
    </row>
    <row r="192" customFormat="false" ht="12.8" hidden="false" customHeight="false" outlineLevel="0" collapsed="false">
      <c r="A192" s="0" t="s">
        <v>317</v>
      </c>
      <c r="B192" s="83"/>
      <c r="C192" s="83" t="n">
        <f aca="false">Calculos!$C$188*Calculos!$C$190</f>
        <v>82228608</v>
      </c>
      <c r="D192" s="83" t="n">
        <f aca="false">Calculos!$D$188*Calculos!$D$190</f>
        <v>84695466.24</v>
      </c>
      <c r="E192" s="83" t="n">
        <f aca="false">Calculos!$E$188*Calculos!$E$190</f>
        <v>87236330.2272</v>
      </c>
      <c r="F192" s="83" t="n">
        <f aca="false">Calculos!$F$188*Calculos!$F$190</f>
        <v>89853420.134016</v>
      </c>
      <c r="G192" s="83" t="n">
        <f aca="false">Calculos!$G$188*Calculos!$G$190</f>
        <v>92549022.7380365</v>
      </c>
    </row>
    <row r="193" customFormat="false" ht="12.8" hidden="false" customHeight="false" outlineLevel="0" collapsed="false">
      <c r="A193" s="0" t="s">
        <v>318</v>
      </c>
      <c r="B193" s="83"/>
      <c r="C193" s="83" t="n">
        <f aca="false">Calculos!$C$188*Calculos!$C$191</f>
        <v>39699351.9648</v>
      </c>
      <c r="D193" s="83" t="n">
        <f aca="false">Calculos!$D$188*Calculos!$D$191</f>
        <v>40890332.523744</v>
      </c>
      <c r="E193" s="83" t="n">
        <f aca="false">Calculos!$E$188*Calculos!$E$191</f>
        <v>42117042.4994563</v>
      </c>
      <c r="F193" s="83" t="n">
        <f aca="false">Calculos!$F$188*Calculos!$F$191</f>
        <v>43380553.77444</v>
      </c>
      <c r="G193" s="83" t="n">
        <f aca="false">Calculos!$G$188*Calculos!$G$191</f>
        <v>44681970.3876732</v>
      </c>
    </row>
    <row r="194" customFormat="false" ht="12.8" hidden="false" customHeight="false" outlineLevel="0" collapsed="false">
      <c r="A194" s="0" t="s">
        <v>319</v>
      </c>
      <c r="B194" s="83"/>
      <c r="C194" s="83" t="n">
        <f aca="false">Calculos!$B$180*12*Calculos!$B$173*Calculos!$C$189</f>
        <v>47382678</v>
      </c>
      <c r="D194" s="83" t="n">
        <f aca="false">Calculos!$B$180*12*Calculos!$B$173*Calculos!$D$189</f>
        <v>48804158.34</v>
      </c>
      <c r="E194" s="83" t="n">
        <f aca="false">Calculos!$B$180*12*Calculos!$B$173*Calculos!$E$189</f>
        <v>50268283.0902</v>
      </c>
      <c r="F194" s="83" t="n">
        <f aca="false">Calculos!$B$180*12*Calculos!$B$173*Calculos!$F$189</f>
        <v>51776331.582906</v>
      </c>
      <c r="G194" s="83" t="n">
        <f aca="false">Calculos!$B$180*12*Calculos!$B$173*Calculos!$G$189</f>
        <v>53329621.5303932</v>
      </c>
    </row>
    <row r="195" customFormat="false" ht="12.8" hidden="false" customHeight="false" outlineLevel="0" collapsed="false">
      <c r="A195" s="0" t="s">
        <v>320</v>
      </c>
      <c r="B195" s="83"/>
      <c r="C195" s="83" t="n">
        <f aca="false">Calculos!$C$192-Calculos!$C$193-Calculos!$C$194</f>
        <v>-4853421.96480001</v>
      </c>
      <c r="D195" s="83" t="n">
        <f aca="false">Calculos!$D$192-Calculos!$D$193-Calculos!$D$194</f>
        <v>-4999024.623744</v>
      </c>
      <c r="E195" s="83" t="n">
        <f aca="false">Calculos!$E$192-Calculos!$E$193-Calculos!$E$194</f>
        <v>-5148995.36245632</v>
      </c>
      <c r="F195" s="83" t="n">
        <f aca="false">Calculos!$F$192-Calculos!$F$193-Calculos!$F$194</f>
        <v>-5303465.22333002</v>
      </c>
      <c r="G195" s="83" t="n">
        <f aca="false">Calculos!$G$192-Calculos!$G$193-Calculos!$G$194</f>
        <v>-5462569.1800299</v>
      </c>
    </row>
    <row r="196" customFormat="false" ht="12.8" hidden="false" customHeight="false" outlineLevel="0" collapsed="false">
      <c r="A196" s="0" t="s">
        <v>321</v>
      </c>
      <c r="B196" s="83"/>
      <c r="C196" s="83" t="n">
        <f aca="false">Calculos!$B$183</f>
        <v>2174721.0746</v>
      </c>
      <c r="D196" s="83" t="n">
        <f aca="false">Calculos!$B$183</f>
        <v>2174721.0746</v>
      </c>
      <c r="E196" s="83" t="n">
        <f aca="false">Calculos!$B$183</f>
        <v>2174721.0746</v>
      </c>
      <c r="F196" s="83" t="n">
        <f aca="false">Calculos!$B$183</f>
        <v>2174721.0746</v>
      </c>
      <c r="G196" s="83" t="n">
        <f aca="false">Calculos!$B$183</f>
        <v>2174721.0746</v>
      </c>
    </row>
    <row r="197" customFormat="false" ht="12.8" hidden="false" customHeight="false" outlineLevel="0" collapsed="false">
      <c r="A197" s="0" t="s">
        <v>322</v>
      </c>
      <c r="B197" s="83"/>
      <c r="C197" s="83" t="n">
        <f aca="false">Calculos!$C$195-Calculos!$C$196</f>
        <v>-7028143.03940001</v>
      </c>
      <c r="D197" s="83" t="n">
        <f aca="false">Calculos!$D$195-Calculos!$D$196</f>
        <v>-7173745.698344</v>
      </c>
      <c r="E197" s="83" t="n">
        <f aca="false">Calculos!$E$195-Calculos!$E$196</f>
        <v>-7323716.43705632</v>
      </c>
      <c r="F197" s="83" t="n">
        <f aca="false">Calculos!$F$195-Calculos!$F$196</f>
        <v>-7478186.29793002</v>
      </c>
      <c r="G197" s="83" t="n">
        <f aca="false">Calculos!$G$195-Calculos!$G$196</f>
        <v>-7637290.2546299</v>
      </c>
    </row>
    <row r="198" customFormat="false" ht="12.8" hidden="false" customHeight="false" outlineLevel="0" collapsed="false">
      <c r="A198" s="0" t="s">
        <v>323</v>
      </c>
      <c r="B198" s="83"/>
      <c r="C198" s="83" t="n">
        <f aca="false">0</f>
        <v>0</v>
      </c>
      <c r="D198" s="83" t="n">
        <f aca="false">Calculos!$C$201</f>
        <v>7028143.03940001</v>
      </c>
      <c r="E198" s="83" t="n">
        <f aca="false">Calculos!$D$201</f>
        <v>14201888.737744</v>
      </c>
      <c r="F198" s="83" t="n">
        <f aca="false">Calculos!$E$201</f>
        <v>21525605.1748003</v>
      </c>
      <c r="G198" s="83" t="n">
        <f aca="false">Calculos!$F$201</f>
        <v>29003791.4727304</v>
      </c>
    </row>
    <row r="199" customFormat="false" ht="12.8" hidden="false" customHeight="false" outlineLevel="0" collapsed="false">
      <c r="A199" s="0" t="s">
        <v>324</v>
      </c>
      <c r="B199" s="83"/>
      <c r="C199" s="83" t="n">
        <f aca="false">MAX(0,Calculos!$C$197-Calculos!$C$198)</f>
        <v>0</v>
      </c>
      <c r="D199" s="83" t="n">
        <f aca="false">MAX(0,Calculos!$D$197-Calculos!$D$198)</f>
        <v>0</v>
      </c>
      <c r="E199" s="83" t="n">
        <f aca="false">MAX(0,Calculos!$E$197-Calculos!$E$198)</f>
        <v>0</v>
      </c>
      <c r="F199" s="83" t="n">
        <f aca="false">MAX(0,Calculos!$F$197-Calculos!$F$198)</f>
        <v>0</v>
      </c>
      <c r="G199" s="83" t="n">
        <f aca="false">MAX(0,Calculos!$G$197-Calculos!$G$198)</f>
        <v>0</v>
      </c>
    </row>
    <row r="200" customFormat="false" ht="12.8" hidden="false" customHeight="false" outlineLevel="0" collapsed="false">
      <c r="A200" s="0" t="s">
        <v>325</v>
      </c>
      <c r="B200" s="83"/>
      <c r="C200" s="83" t="n">
        <f aca="false">Calculos!$C$199*Inputs!$C$21</f>
        <v>0</v>
      </c>
      <c r="D200" s="83" t="n">
        <f aca="false">Calculos!$D$199*Inputs!$C$22</f>
        <v>0</v>
      </c>
      <c r="E200" s="83" t="n">
        <f aca="false">Calculos!$E$199*Inputs!$C$23</f>
        <v>0</v>
      </c>
      <c r="F200" s="83" t="n">
        <f aca="false">Calculos!$F$199*Inputs!$C$24</f>
        <v>0</v>
      </c>
      <c r="G200" s="83" t="n">
        <f aca="false">Calculos!$G$199*Inputs!$C$25</f>
        <v>0</v>
      </c>
    </row>
    <row r="201" customFormat="false" ht="12.8" hidden="false" customHeight="false" outlineLevel="0" collapsed="false">
      <c r="A201" s="0" t="s">
        <v>326</v>
      </c>
      <c r="B201" s="83"/>
      <c r="C201" s="83" t="n">
        <f aca="false">MAX(0,Calculos!$C$198-Calculos!$C$197)</f>
        <v>7028143.03940001</v>
      </c>
      <c r="D201" s="83" t="n">
        <f aca="false">MAX(0,Calculos!$D$198-Calculos!$D$197)</f>
        <v>14201888.737744</v>
      </c>
      <c r="E201" s="83" t="n">
        <f aca="false">MAX(0,Calculos!$E$198-Calculos!$E$197)</f>
        <v>21525605.1748003</v>
      </c>
      <c r="F201" s="83" t="n">
        <f aca="false">MAX(0,Calculos!$F$198-Calculos!$F$197)</f>
        <v>29003791.4727304</v>
      </c>
      <c r="G201" s="83" t="n">
        <f aca="false">MAX(0,Calculos!$G$198-Calculos!$G$197)</f>
        <v>36641081.7273603</v>
      </c>
    </row>
    <row r="202" customFormat="false" ht="12.8" hidden="false" customHeight="false" outlineLevel="0" collapsed="false">
      <c r="A202" s="0" t="s">
        <v>327</v>
      </c>
      <c r="B202" s="83"/>
      <c r="C202" s="83" t="n">
        <f aca="false">Calculos!$C$192*Inputs!$C$47/365+Calculos!$C$193*Inputs!$C$48/365-Calculos!$C$193*Inputs!$C$49/365</f>
        <v>8389995.94375891</v>
      </c>
      <c r="D202" s="83" t="n">
        <f aca="false">Calculos!$D$192*Inputs!$C$47/365+Calculos!$D$193*Inputs!$C$48/365-Calculos!$D$193*Inputs!$C$49/365</f>
        <v>8641695.82207167</v>
      </c>
      <c r="E202" s="83" t="n">
        <f aca="false">Calculos!$E$192*Inputs!$C$47/365+Calculos!$E$193*Inputs!$C$48/365-Calculos!$E$193*Inputs!$C$49/365</f>
        <v>8900946.69673382</v>
      </c>
      <c r="F202" s="83" t="n">
        <f aca="false">Calculos!$F$192*Inputs!$C$47/365+Calculos!$F$193*Inputs!$C$48/365-Calculos!$F$193*Inputs!$C$49/365</f>
        <v>9167975.09763584</v>
      </c>
      <c r="G202" s="83" t="n">
        <f aca="false">Calculos!$G$192*Inputs!$C$47/365+Calculos!$G$193*Inputs!$C$48/365-Calculos!$G$193*Inputs!$C$49/365</f>
        <v>9443014.35056491</v>
      </c>
    </row>
    <row r="203" customFormat="false" ht="12.8" hidden="false" customHeight="false" outlineLevel="0" collapsed="false">
      <c r="A203" s="0" t="s">
        <v>328</v>
      </c>
      <c r="B203" s="83"/>
      <c r="C203" s="83" t="n">
        <f aca="false">Calculos!$C$202-Calculos!$C$202</f>
        <v>0</v>
      </c>
      <c r="D203" s="83" t="n">
        <f aca="false">Calculos!$D$202-Calculos!$C$202</f>
        <v>251699.878312767</v>
      </c>
      <c r="E203" s="83" t="n">
        <f aca="false">Calculos!$E$202-Calculos!$D$202</f>
        <v>259250.87466215</v>
      </c>
      <c r="F203" s="83" t="n">
        <f aca="false">Calculos!$F$202-Calculos!$E$202</f>
        <v>267028.400902016</v>
      </c>
      <c r="G203" s="83" t="n">
        <f aca="false">Calculos!$G$202-Calculos!$F$202</f>
        <v>275039.252929077</v>
      </c>
    </row>
    <row r="204" customFormat="false" ht="12.8" hidden="false" customHeight="false" outlineLevel="0" collapsed="false">
      <c r="A204" s="0" t="s">
        <v>329</v>
      </c>
      <c r="B204" s="83"/>
      <c r="C204" s="83" t="n">
        <f aca="false">0</f>
        <v>0</v>
      </c>
      <c r="D204" s="83" t="n">
        <f aca="false">0</f>
        <v>0</v>
      </c>
      <c r="E204" s="83" t="n">
        <f aca="false">0</f>
        <v>0</v>
      </c>
      <c r="F204" s="83" t="n">
        <f aca="false">0</f>
        <v>0</v>
      </c>
      <c r="G204" s="83" t="n">
        <f aca="false">Calculos!$B$184-MAX(0,(Calculos!$B$184-MAX(0,Calculos!$B$181-Calculos!$B$183*5)))*Inputs!$C$25+Calculos!$G$202+Calculos!$B$185</f>
        <v>13137175.4251649</v>
      </c>
    </row>
    <row r="205" customFormat="false" ht="12.8" hidden="false" customHeight="false" outlineLevel="0" collapsed="false">
      <c r="A205" s="0" t="s">
        <v>330</v>
      </c>
      <c r="B205" s="83" t="n">
        <f aca="false">-(Calculos!$B$182+Calculos!$B$185+Calculos!$C$202)</f>
        <v>-33656646.6897589</v>
      </c>
      <c r="C205" s="83" t="n">
        <f aca="false">Calculos!$C$195-Calculos!$C$200-Calculos!$C$203+Calculos!$C$204</f>
        <v>-4853421.96480001</v>
      </c>
      <c r="D205" s="83" t="n">
        <f aca="false">Calculos!$D$195-Calculos!$D$200-Calculos!$D$203+Calculos!$D$204</f>
        <v>-5250724.50205677</v>
      </c>
      <c r="E205" s="83" t="n">
        <f aca="false">Calculos!$E$195-Calculos!$E$200-Calculos!$E$203+Calculos!$E$204</f>
        <v>-5408246.23711847</v>
      </c>
      <c r="F205" s="83" t="n">
        <f aca="false">Calculos!$F$195-Calculos!$F$200-Calculos!$F$203+Calculos!$F$204</f>
        <v>-5570493.62423204</v>
      </c>
      <c r="G205" s="83" t="n">
        <f aca="false">Calculos!$G$195-Calculos!$G$200-Calculos!$G$203+Calculos!$G$204</f>
        <v>7399566.99220594</v>
      </c>
    </row>
    <row r="206" customFormat="false" ht="12.8" hidden="false" customHeight="false" outlineLevel="0" collapsed="false">
      <c r="A206" s="0" t="s">
        <v>331</v>
      </c>
      <c r="B206" s="83" t="n">
        <v>1</v>
      </c>
      <c r="C206" s="83" t="n">
        <f aca="false">1/(1+Inputs!$C$6)^1</f>
        <v>0.830151087497925</v>
      </c>
      <c r="D206" s="83" t="n">
        <f aca="false">1/(1+Inputs!$C$6)^2</f>
        <v>0.689150828073987</v>
      </c>
      <c r="E206" s="83" t="n">
        <f aca="false">1/(1+Inputs!$C$6)^3</f>
        <v>0.572099309375715</v>
      </c>
      <c r="F206" s="83" t="n">
        <f aca="false">1/(1+Inputs!$C$6)^4</f>
        <v>0.474928863835062</v>
      </c>
      <c r="G206" s="83" t="n">
        <f aca="false">1/(1+Inputs!$C$6)^5</f>
        <v>0.39426271279683</v>
      </c>
    </row>
    <row r="207" customFormat="false" ht="12.8" hidden="false" customHeight="false" outlineLevel="0" collapsed="false">
      <c r="A207" s="0" t="s">
        <v>332</v>
      </c>
      <c r="B207" s="83" t="n">
        <f aca="false">Calculos!$B$205</f>
        <v>-33656646.6897589</v>
      </c>
      <c r="C207" s="83" t="n">
        <f aca="false">Calculos!$C$205*Calculos!$C$206</f>
        <v>-4029073.52216504</v>
      </c>
      <c r="D207" s="83" t="n">
        <f aca="false">Calculos!$D$205*Calculos!$D$206</f>
        <v>-3618541.1385808</v>
      </c>
      <c r="E207" s="83" t="n">
        <f aca="false">Calculos!$E$205*Calculos!$E$206</f>
        <v>-3094053.93718929</v>
      </c>
      <c r="F207" s="83" t="n">
        <f aca="false">Calculos!$F$205*Calculos!$F$206</f>
        <v>-2645588.20795698</v>
      </c>
      <c r="G207" s="83" t="n">
        <f aca="false">Calculos!$G$205*Calculos!$G$206</f>
        <v>2917373.35586899</v>
      </c>
    </row>
    <row r="208" customFormat="false" ht="12.8" hidden="false" customHeight="false" outlineLevel="0" collapsed="false">
      <c r="A208" s="0" t="s">
        <v>333</v>
      </c>
      <c r="B208" s="83" t="n">
        <f aca="false">Calculos!$B$205</f>
        <v>-33656646.6897589</v>
      </c>
      <c r="C208" s="83" t="n">
        <f aca="false">Calculos!$B$208+Calculos!$C$205</f>
        <v>-38510068.6545589</v>
      </c>
      <c r="D208" s="83" t="n">
        <f aca="false">Calculos!$C$208+Calculos!$D$205</f>
        <v>-43760793.1566157</v>
      </c>
      <c r="E208" s="83" t="n">
        <f aca="false">Calculos!$D$208+Calculos!$E$205</f>
        <v>-49169039.3937342</v>
      </c>
      <c r="F208" s="83" t="n">
        <f aca="false">Calculos!$E$208+Calculos!$F$205</f>
        <v>-54739533.0179662</v>
      </c>
      <c r="G208" s="83" t="n">
        <f aca="false">Calculos!$F$208+Calculos!$G$205</f>
        <v>-47339966.0257603</v>
      </c>
    </row>
    <row r="209" customFormat="false" ht="12.8" hidden="false" customHeight="false" outlineLevel="0" collapsed="false">
      <c r="A209" s="0" t="s">
        <v>334</v>
      </c>
      <c r="B209" s="83" t="n">
        <f aca="false">Calculos!$B$207</f>
        <v>-33656646.6897589</v>
      </c>
      <c r="C209" s="83" t="n">
        <f aca="false">Calculos!$B$209+Calculos!$C$207</f>
        <v>-37685720.2119239</v>
      </c>
      <c r="D209" s="83" t="n">
        <f aca="false">Calculos!$C$209+Calculos!$D$207</f>
        <v>-41304261.3505047</v>
      </c>
      <c r="E209" s="83" t="n">
        <f aca="false">Calculos!$D$209+Calculos!$E$207</f>
        <v>-44398315.287694</v>
      </c>
      <c r="F209" s="83" t="n">
        <f aca="false">Calculos!$E$209+Calculos!$F$207</f>
        <v>-47043903.495651</v>
      </c>
      <c r="G209" s="83" t="n">
        <f aca="false">Calculos!$F$209+Calculos!$G$207</f>
        <v>-44126530.139782</v>
      </c>
    </row>
    <row r="211" customFormat="false" ht="12.8" hidden="false" customHeight="false" outlineLevel="0" collapsed="false">
      <c r="A211" s="0" t="s">
        <v>3</v>
      </c>
      <c r="B211" s="83" t="n">
        <f aca="false">-Calculos!$B$205</f>
        <v>33656646.6897589</v>
      </c>
    </row>
    <row r="212" customFormat="false" ht="12.8" hidden="false" customHeight="false" outlineLevel="0" collapsed="false">
      <c r="A212" s="0" t="s">
        <v>7</v>
      </c>
      <c r="B212" s="83" t="n">
        <f aca="false">SUM(Calculos!$B$207:$G$207)</f>
        <v>-44126530.139782</v>
      </c>
    </row>
    <row r="213" customFormat="false" ht="12.8" hidden="false" customHeight="false" outlineLevel="0" collapsed="false">
      <c r="A213" s="0" t="s">
        <v>9</v>
      </c>
      <c r="B213" s="84" t="e">
        <f aca="false">IFERROR(IRR(Calculos!$B$205:$G$205),NA())</f>
        <v>#N/A</v>
      </c>
    </row>
    <row r="214" customFormat="false" ht="12.8" hidden="false" customHeight="false" outlineLevel="0" collapsed="false">
      <c r="A214" s="0" t="s">
        <v>10</v>
      </c>
      <c r="B214" s="0" t="e">
        <f aca="false">IFERROR(IF(Calculos!$C$209&gt;=0,0+(-Calculos!$B$209/Calculos!$C$207),IF(Calculos!$D$209&gt;=0,1+(-Calculos!$C$209/Calculos!$D$207),IF(Calculos!$E$209&gt;=0,2+(-Calculos!$D$209/Calculos!$E$207),IF(Calculos!$F$209&gt;=0,3+(-Calculos!$E$209/Calculos!$F$207),IF(Calculos!$G$209&gt;=0,4+(-Calculos!$F$209/Calculos!$G$207),NA()))))),NA())</f>
        <v>#N/A</v>
      </c>
    </row>
    <row r="215" customFormat="false" ht="12.8" hidden="false" customHeight="false" outlineLevel="0" collapsed="false">
      <c r="A215" s="0" t="s">
        <v>12</v>
      </c>
      <c r="B215" s="0" t="n">
        <f aca="false">(Calculos!$C$207+Calculos!$D$207+Calculos!$E$207+Calculos!$F$207+Calculos!$G$207)/(-Calculos!$B$205)</f>
        <v>-0.311079221484323</v>
      </c>
    </row>
    <row r="216" customFormat="false" ht="12.8" hidden="false" customHeight="false" outlineLevel="0" collapsed="false">
      <c r="A216" s="0" t="s">
        <v>5</v>
      </c>
      <c r="B216" s="83" t="n">
        <f aca="false">-MIN(Calculos!$B$208:$G$208)</f>
        <v>54739533.0179662</v>
      </c>
    </row>
    <row r="217" customFormat="false" ht="12.8" hidden="false" customHeight="false" outlineLevel="0" collapsed="false">
      <c r="A217" s="0" t="s">
        <v>363</v>
      </c>
      <c r="B217" s="0" t="n">
        <f aca="false">IF((Calculos!$C$190-Calculos!$C$191)&gt;0,Calculos!$C$194/(Calculos!$C$190-Calculos!$C$191)/12,NA())</f>
        <v>1470.63788062113</v>
      </c>
    </row>
    <row r="218" customFormat="false" ht="12.8" hidden="false" customHeight="false" outlineLevel="0" collapsed="false">
      <c r="A218" s="0" t="s">
        <v>364</v>
      </c>
      <c r="B218" s="0" t="n">
        <f aca="false">IF(AND(Inputs!$C$51&gt;0,Inputs!$C$52&gt;0),Inputs!$C$51*Inputs!$C$52*12,NA())</f>
        <v>15840</v>
      </c>
    </row>
    <row r="219" customFormat="false" ht="12.8" hidden="false" customHeight="false" outlineLevel="0" collapsed="false">
      <c r="A219" s="0" t="s">
        <v>365</v>
      </c>
      <c r="B219" s="0" t="n">
        <f aca="false">IFERROR(Calculos!$G$188/Calculos!$B$218,NA())</f>
        <v>1</v>
      </c>
    </row>
    <row r="220" customFormat="false" ht="12.8" hidden="false" customHeight="false" outlineLevel="0" collapsed="false">
      <c r="A220" s="0" t="s">
        <v>366</v>
      </c>
      <c r="B220" s="0" t="n">
        <f aca="false">IFERROR(Calculos!$B$217*12/Calculos!$B$218,NA())</f>
        <v>1.11411960653116</v>
      </c>
    </row>
    <row r="221" customFormat="false" ht="12.8" hidden="false" customHeight="false" outlineLevel="0" collapsed="false">
      <c r="A221" s="0" t="s">
        <v>367</v>
      </c>
      <c r="B221" s="0" t="n">
        <f aca="false">IFERROR(Calculos!$B$212/Calculos!$B$216,NA())</f>
        <v>-0.806118132672033</v>
      </c>
    </row>
    <row r="224" customFormat="false" ht="12.8" hidden="false" customHeight="false" outlineLevel="0" collapsed="false">
      <c r="A224" s="81" t="s">
        <v>371</v>
      </c>
      <c r="B224" s="81"/>
      <c r="C224" s="81"/>
      <c r="D224" s="81"/>
      <c r="E224" s="81"/>
      <c r="F224" s="81"/>
      <c r="G224" s="81"/>
    </row>
    <row r="225" customFormat="false" ht="12.8" hidden="false" customHeight="false" outlineLevel="0" collapsed="false">
      <c r="A225" s="0" t="s">
        <v>316</v>
      </c>
      <c r="B225" s="85" t="n">
        <f aca="false">Inputs!$C$85</f>
        <v>0.72</v>
      </c>
    </row>
    <row r="226" customFormat="false" ht="12.8" hidden="false" customHeight="false" outlineLevel="0" collapsed="false">
      <c r="A226" s="0" t="s">
        <v>315</v>
      </c>
      <c r="B226" s="82" t="n">
        <f aca="false">Inputs!$C$87</f>
        <v>1</v>
      </c>
    </row>
    <row r="227" customFormat="false" ht="12.8" hidden="false" customHeight="false" outlineLevel="0" collapsed="false">
      <c r="A227" s="0" t="s">
        <v>348</v>
      </c>
      <c r="B227" s="0" t="n">
        <f aca="false">1</f>
        <v>1</v>
      </c>
    </row>
    <row r="228" customFormat="false" ht="12.8" hidden="false" customHeight="false" outlineLevel="0" collapsed="false">
      <c r="A228" s="0" t="s">
        <v>349</v>
      </c>
      <c r="B228" s="0" t="n">
        <f aca="false">1</f>
        <v>1</v>
      </c>
    </row>
    <row r="229" customFormat="false" ht="12.8" hidden="false" customHeight="false" outlineLevel="0" collapsed="false">
      <c r="A229" s="0" t="s">
        <v>350</v>
      </c>
      <c r="B229" s="0" t="n">
        <f aca="false">1</f>
        <v>1</v>
      </c>
    </row>
    <row r="231" customFormat="false" ht="12.8" hidden="false" customHeight="false" outlineLevel="0" collapsed="false">
      <c r="A231" s="0" t="s">
        <v>351</v>
      </c>
      <c r="B231" s="83" t="n">
        <f aca="false">IF(Inputs!$C$61&gt;0,Inputs!$C$61,Inputs!$C$53+Inputs!$C$54+Inputs!$C$55+Inputs!$C$56+Inputs!$C$57+Inputs!$C$58+Inputs!$C$59+Inputs!$C$60)</f>
        <v>10120237</v>
      </c>
    </row>
    <row r="232" customFormat="false" ht="12.8" hidden="false" customHeight="false" outlineLevel="0" collapsed="false">
      <c r="A232" s="0" t="s">
        <v>352</v>
      </c>
      <c r="B232" s="83" t="n">
        <f aca="false">Calculos!$B$231*Inputs!$C$62</f>
        <v>1518035.55</v>
      </c>
    </row>
    <row r="233" customFormat="false" ht="12.8" hidden="false" customHeight="false" outlineLevel="0" collapsed="false">
      <c r="A233" s="0" t="s">
        <v>353</v>
      </c>
      <c r="B233" s="83" t="n">
        <f aca="false">IF(Inputs!$C$39&gt;0,Inputs!$C$39,Inputs!$C$37*Inputs!$C$38)</f>
        <v>759720</v>
      </c>
    </row>
    <row r="234" customFormat="false" ht="12.8" hidden="false" customHeight="false" outlineLevel="0" collapsed="false">
      <c r="A234" s="0" t="s">
        <v>354</v>
      </c>
      <c r="B234" s="83" t="n">
        <f aca="false">((Inputs!$C$26*Inputs!$C$34+Inputs!$C$27*Inputs!$C$35+Inputs!$C$28*Inputs!$C$36+Inputs!$C$29)*(1+Inputs!$C$33)+Inputs!$C$30+Inputs!$C$31+Inputs!$C$32)</f>
        <v>2433.274</v>
      </c>
    </row>
    <row r="235" customFormat="false" ht="12.8" hidden="false" customHeight="false" outlineLevel="0" collapsed="false">
      <c r="A235" s="0" t="s">
        <v>355</v>
      </c>
      <c r="B235" s="83" t="n">
        <f aca="false">(Calculos!$B$233+IF(Inputs!$C$50&gt;0,Inputs!$C$50,Inputs!$C$40*Inputs!$C$41)+Inputs!$C$42+Inputs!$C$43+Inputs!$C$44+Inputs!$C$45+Inputs!$C$46)</f>
        <v>3833550</v>
      </c>
    </row>
    <row r="236" customFormat="false" ht="12.8" hidden="false" customHeight="false" outlineLevel="0" collapsed="false">
      <c r="A236" s="0" t="s">
        <v>356</v>
      </c>
      <c r="B236" s="83" t="n">
        <f aca="false">(Calculos!$B$231+Calculos!$B$232+Inputs!$C$63)*(1+Inputs!$C$66)*Calculos!$B$229</f>
        <v>27184013.4325</v>
      </c>
    </row>
    <row r="237" customFormat="false" ht="12.8" hidden="false" customHeight="false" outlineLevel="0" collapsed="false">
      <c r="A237" s="0" t="s">
        <v>357</v>
      </c>
      <c r="B237" s="83" t="n">
        <f aca="false">Calculos!$B$236+(Inputs!$C$64+Inputs!$C$65)*Calculos!$B$229</f>
        <v>29684013.4325</v>
      </c>
    </row>
    <row r="238" customFormat="false" ht="12.8" hidden="false" customHeight="false" outlineLevel="0" collapsed="false">
      <c r="A238" s="0" t="s">
        <v>358</v>
      </c>
      <c r="B238" s="83" t="n">
        <f aca="false">Calculos!$B$236/Inputs!$C$68</f>
        <v>2718401.34325</v>
      </c>
    </row>
    <row r="239" customFormat="false" ht="12.8" hidden="false" customHeight="false" outlineLevel="0" collapsed="false">
      <c r="A239" s="0" t="s">
        <v>359</v>
      </c>
      <c r="B239" s="83" t="n">
        <f aca="false">Calculos!$B$236*Inputs!$C$69</f>
        <v>2718401.34325</v>
      </c>
    </row>
    <row r="240" customFormat="false" ht="12.8" hidden="false" customHeight="false" outlineLevel="0" collapsed="false">
      <c r="A240" s="0" t="s">
        <v>360</v>
      </c>
      <c r="B240" s="83" t="n">
        <f aca="false">Calculos!$B$233*Inputs!$C$67</f>
        <v>1519440</v>
      </c>
    </row>
    <row r="242" customFormat="false" ht="18.45" hidden="false" customHeight="true" outlineLevel="0" collapsed="false">
      <c r="A242" s="45" t="s">
        <v>294</v>
      </c>
      <c r="B242" s="45" t="s">
        <v>309</v>
      </c>
      <c r="C242" s="45" t="s">
        <v>310</v>
      </c>
      <c r="D242" s="45" t="s">
        <v>311</v>
      </c>
      <c r="E242" s="45" t="s">
        <v>312</v>
      </c>
      <c r="F242" s="45" t="s">
        <v>313</v>
      </c>
      <c r="G242" s="45" t="s">
        <v>314</v>
      </c>
    </row>
    <row r="243" customFormat="false" ht="12.8" hidden="false" customHeight="false" outlineLevel="0" collapsed="false">
      <c r="A243" s="0" t="s">
        <v>315</v>
      </c>
      <c r="C243" s="0" t="n">
        <f aca="false">IF(AND(Inputs!$C$51&gt;0,Inputs!$C$52&gt;0),MIN((IF(Inputs!$C$11&gt;0,Inputs!$C$11*12,Inputs!$C$12))*Calculos!$B$226,Inputs!$C$51*Inputs!$C$52*12),(IF(Inputs!$C$11&gt;0,Inputs!$C$11*12,Inputs!$C$12))*Calculos!$B$226)</f>
        <v>15840</v>
      </c>
      <c r="D243" s="0" t="n">
        <f aca="false">IF(AND(Inputs!$C$51&gt;0,Inputs!$C$52&gt;0),MIN((IF(Inputs!$C$11&gt;0,Inputs!$C$11*12,Inputs!$C$12)*IF(Inputs!$C$17&gt;0,Inputs!$C$17,Inputs!$C$13/Inputs!$C$12))*Calculos!$B$226,Inputs!$C$51*Inputs!$C$52*12),(IF(Inputs!$C$11&gt;0,Inputs!$C$11*12,Inputs!$C$12)*IF(Inputs!$C$17&gt;0,Inputs!$C$17,Inputs!$C$13/Inputs!$C$12))*Calculos!$B$226)</f>
        <v>15840</v>
      </c>
      <c r="E243" s="0" t="n">
        <f aca="false">IF(AND(Inputs!$C$51&gt;0,Inputs!$C$52&gt;0),MIN((IF(Inputs!$C$11&gt;0,Inputs!$C$11*12,Inputs!$C$12)*IF(Inputs!$C$18&gt;0,Inputs!$C$18,Inputs!$C$14/Inputs!$C$12))*Calculos!$B$226,Inputs!$C$51*Inputs!$C$52*12),(IF(Inputs!$C$11&gt;0,Inputs!$C$11*12,Inputs!$C$12)*IF(Inputs!$C$18&gt;0,Inputs!$C$18,Inputs!$C$14/Inputs!$C$12))*Calculos!$B$226)</f>
        <v>15840</v>
      </c>
      <c r="F243" s="0" t="n">
        <f aca="false">IF(AND(Inputs!$C$51&gt;0,Inputs!$C$52&gt;0),MIN((IF(Inputs!$C$11&gt;0,Inputs!$C$11*12,Inputs!$C$12)*IF(Inputs!$C$19&gt;0,Inputs!$C$19,Inputs!$C$15/Inputs!$C$12))*Calculos!$B$226,Inputs!$C$51*Inputs!$C$52*12),(IF(Inputs!$C$11&gt;0,Inputs!$C$11*12,Inputs!$C$12)*IF(Inputs!$C$19&gt;0,Inputs!$C$19,Inputs!$C$15/Inputs!$C$12))*Calculos!$B$226)</f>
        <v>15840</v>
      </c>
      <c r="G243" s="0" t="n">
        <f aca="false">IF(AND(Inputs!$C$51&gt;0,Inputs!$C$52&gt;0),MIN((IF(Inputs!$C$11&gt;0,Inputs!$C$11*12,Inputs!$C$12)*IF(Inputs!$C$20&gt;0,Inputs!$C$20,Inputs!$C$16/Inputs!$C$12))*Calculos!$B$226,Inputs!$C$51*Inputs!$C$52*12),(IF(Inputs!$C$11&gt;0,Inputs!$C$11*12,Inputs!$C$12)*IF(Inputs!$C$20&gt;0,Inputs!$C$20,Inputs!$C$16/Inputs!$C$12))*Calculos!$B$226)</f>
        <v>15840</v>
      </c>
    </row>
    <row r="244" customFormat="false" ht="12.8" hidden="false" customHeight="false" outlineLevel="0" collapsed="false">
      <c r="A244" s="0" t="s">
        <v>361</v>
      </c>
      <c r="C244" s="0" t="n">
        <f aca="false">(1+Inputs!$C$7)^1</f>
        <v>1.03</v>
      </c>
      <c r="D244" s="0" t="n">
        <f aca="false">(1+Inputs!$C$7)^2</f>
        <v>1.0609</v>
      </c>
      <c r="E244" s="0" t="n">
        <f aca="false">(1+Inputs!$C$7)^3</f>
        <v>1.092727</v>
      </c>
      <c r="F244" s="0" t="n">
        <f aca="false">(1+Inputs!$C$7)^4</f>
        <v>1.12550881</v>
      </c>
      <c r="G244" s="0" t="n">
        <f aca="false">(1+Inputs!$C$7)^5</f>
        <v>1.1592740743</v>
      </c>
    </row>
    <row r="245" customFormat="false" ht="12.8" hidden="false" customHeight="false" outlineLevel="0" collapsed="false">
      <c r="A245" s="0" t="s">
        <v>316</v>
      </c>
      <c r="B245" s="83"/>
      <c r="C245" s="83" t="n">
        <f aca="false">Inputs!$C$10*Calculos!$B$225*Calculos!$C$244</f>
        <v>3114.72</v>
      </c>
      <c r="D245" s="83" t="n">
        <f aca="false">Inputs!$C$10*Calculos!$B$225*Calculos!$D$244</f>
        <v>3208.1616</v>
      </c>
      <c r="E245" s="83" t="n">
        <f aca="false">Inputs!$C$10*Calculos!$B$225*Calculos!$E$244</f>
        <v>3304.406448</v>
      </c>
      <c r="F245" s="83" t="n">
        <f aca="false">Inputs!$C$10*Calculos!$B$225*Calculos!$F$244</f>
        <v>3403.53864144</v>
      </c>
      <c r="G245" s="83" t="n">
        <f aca="false">Inputs!$C$10*Calculos!$B$225*Calculos!$G$244</f>
        <v>3505.6448006832</v>
      </c>
    </row>
    <row r="246" customFormat="false" ht="12.8" hidden="false" customHeight="false" outlineLevel="0" collapsed="false">
      <c r="A246" s="0" t="s">
        <v>362</v>
      </c>
      <c r="B246" s="83"/>
      <c r="C246" s="83" t="n">
        <f aca="false">Calculos!$B$234*Calculos!$B$227*Calculos!$C$244</f>
        <v>2506.27222</v>
      </c>
      <c r="D246" s="83" t="n">
        <f aca="false">Calculos!$B$234*Calculos!$B$227*Calculos!$D$244</f>
        <v>2581.4603866</v>
      </c>
      <c r="E246" s="83" t="n">
        <f aca="false">Calculos!$B$234*Calculos!$B$227*Calculos!$E$244</f>
        <v>2658.904198198</v>
      </c>
      <c r="F246" s="83" t="n">
        <f aca="false">Calculos!$B$234*Calculos!$B$227*Calculos!$F$244</f>
        <v>2738.67132414394</v>
      </c>
      <c r="G246" s="83" t="n">
        <f aca="false">Calculos!$B$234*Calculos!$B$227*Calculos!$G$244</f>
        <v>2820.83146386826</v>
      </c>
    </row>
    <row r="247" customFormat="false" ht="12.8" hidden="false" customHeight="false" outlineLevel="0" collapsed="false">
      <c r="A247" s="0" t="s">
        <v>317</v>
      </c>
      <c r="B247" s="83"/>
      <c r="C247" s="83" t="n">
        <f aca="false">Calculos!$C$243*Calculos!$C$245</f>
        <v>49337164.8</v>
      </c>
      <c r="D247" s="83" t="n">
        <f aca="false">Calculos!$D$243*Calculos!$D$245</f>
        <v>50817279.744</v>
      </c>
      <c r="E247" s="83" t="n">
        <f aca="false">Calculos!$E$243*Calculos!$E$245</f>
        <v>52341798.13632</v>
      </c>
      <c r="F247" s="83" t="n">
        <f aca="false">Calculos!$F$243*Calculos!$F$245</f>
        <v>53912052.0804096</v>
      </c>
      <c r="G247" s="83" t="n">
        <f aca="false">Calculos!$G$243*Calculos!$G$245</f>
        <v>55529413.6428219</v>
      </c>
    </row>
    <row r="248" customFormat="false" ht="12.8" hidden="false" customHeight="false" outlineLevel="0" collapsed="false">
      <c r="A248" s="0" t="s">
        <v>318</v>
      </c>
      <c r="B248" s="83"/>
      <c r="C248" s="83" t="n">
        <f aca="false">Calculos!$C$243*Calculos!$C$246</f>
        <v>39699351.9648</v>
      </c>
      <c r="D248" s="83" t="n">
        <f aca="false">Calculos!$D$243*Calculos!$D$246</f>
        <v>40890332.523744</v>
      </c>
      <c r="E248" s="83" t="n">
        <f aca="false">Calculos!$E$243*Calculos!$E$246</f>
        <v>42117042.4994563</v>
      </c>
      <c r="F248" s="83" t="n">
        <f aca="false">Calculos!$F$243*Calculos!$F$246</f>
        <v>43380553.77444</v>
      </c>
      <c r="G248" s="83" t="n">
        <f aca="false">Calculos!$G$243*Calculos!$G$246</f>
        <v>44681970.3876732</v>
      </c>
    </row>
    <row r="249" customFormat="false" ht="12.8" hidden="false" customHeight="false" outlineLevel="0" collapsed="false">
      <c r="A249" s="0" t="s">
        <v>319</v>
      </c>
      <c r="B249" s="83"/>
      <c r="C249" s="83" t="n">
        <f aca="false">Calculos!$B$235*12*Calculos!$B$228*Calculos!$C$244</f>
        <v>47382678</v>
      </c>
      <c r="D249" s="83" t="n">
        <f aca="false">Calculos!$B$235*12*Calculos!$B$228*Calculos!$D$244</f>
        <v>48804158.34</v>
      </c>
      <c r="E249" s="83" t="n">
        <f aca="false">Calculos!$B$235*12*Calculos!$B$228*Calculos!$E$244</f>
        <v>50268283.0902</v>
      </c>
      <c r="F249" s="83" t="n">
        <f aca="false">Calculos!$B$235*12*Calculos!$B$228*Calculos!$F$244</f>
        <v>51776331.582906</v>
      </c>
      <c r="G249" s="83" t="n">
        <f aca="false">Calculos!$B$235*12*Calculos!$B$228*Calculos!$G$244</f>
        <v>53329621.5303932</v>
      </c>
    </row>
    <row r="250" customFormat="false" ht="12.8" hidden="false" customHeight="false" outlineLevel="0" collapsed="false">
      <c r="A250" s="0" t="s">
        <v>320</v>
      </c>
      <c r="B250" s="83"/>
      <c r="C250" s="83" t="n">
        <f aca="false">Calculos!$C$247-Calculos!$C$248-Calculos!$C$249</f>
        <v>-37744865.1648</v>
      </c>
      <c r="D250" s="83" t="n">
        <f aca="false">Calculos!$D$247-Calculos!$D$248-Calculos!$D$249</f>
        <v>-38877211.119744</v>
      </c>
      <c r="E250" s="83" t="n">
        <f aca="false">Calculos!$E$247-Calculos!$E$248-Calculos!$E$249</f>
        <v>-40043527.4533363</v>
      </c>
      <c r="F250" s="83" t="n">
        <f aca="false">Calculos!$F$247-Calculos!$F$248-Calculos!$F$249</f>
        <v>-41244833.2769364</v>
      </c>
      <c r="G250" s="83" t="n">
        <f aca="false">Calculos!$G$247-Calculos!$G$248-Calculos!$G$249</f>
        <v>-42482178.2752445</v>
      </c>
    </row>
    <row r="251" customFormat="false" ht="12.8" hidden="false" customHeight="false" outlineLevel="0" collapsed="false">
      <c r="A251" s="0" t="s">
        <v>321</v>
      </c>
      <c r="B251" s="83"/>
      <c r="C251" s="83" t="n">
        <f aca="false">Calculos!$B$238</f>
        <v>2718401.34325</v>
      </c>
      <c r="D251" s="83" t="n">
        <f aca="false">Calculos!$B$238</f>
        <v>2718401.34325</v>
      </c>
      <c r="E251" s="83" t="n">
        <f aca="false">Calculos!$B$238</f>
        <v>2718401.34325</v>
      </c>
      <c r="F251" s="83" t="n">
        <f aca="false">Calculos!$B$238</f>
        <v>2718401.34325</v>
      </c>
      <c r="G251" s="83" t="n">
        <f aca="false">Calculos!$B$238</f>
        <v>2718401.34325</v>
      </c>
    </row>
    <row r="252" customFormat="false" ht="12.8" hidden="false" customHeight="false" outlineLevel="0" collapsed="false">
      <c r="A252" s="0" t="s">
        <v>322</v>
      </c>
      <c r="B252" s="83"/>
      <c r="C252" s="83" t="n">
        <f aca="false">Calculos!$C$250-Calculos!$C$251</f>
        <v>-40463266.50805</v>
      </c>
      <c r="D252" s="83" t="n">
        <f aca="false">Calculos!$D$250-Calculos!$D$251</f>
        <v>-41595612.462994</v>
      </c>
      <c r="E252" s="83" t="n">
        <f aca="false">Calculos!$E$250-Calculos!$E$251</f>
        <v>-42761928.7965863</v>
      </c>
      <c r="F252" s="83" t="n">
        <f aca="false">Calculos!$F$250-Calculos!$F$251</f>
        <v>-43963234.6201864</v>
      </c>
      <c r="G252" s="83" t="n">
        <f aca="false">Calculos!$G$250-Calculos!$G$251</f>
        <v>-45200579.6184945</v>
      </c>
    </row>
    <row r="253" customFormat="false" ht="12.8" hidden="false" customHeight="false" outlineLevel="0" collapsed="false">
      <c r="A253" s="0" t="s">
        <v>323</v>
      </c>
      <c r="B253" s="83"/>
      <c r="C253" s="83" t="n">
        <f aca="false">0</f>
        <v>0</v>
      </c>
      <c r="D253" s="83" t="n">
        <f aca="false">Calculos!$C$256</f>
        <v>40463266.50805</v>
      </c>
      <c r="E253" s="83" t="n">
        <f aca="false">Calculos!$D$256</f>
        <v>82058878.971044</v>
      </c>
      <c r="F253" s="83" t="n">
        <f aca="false">Calculos!$E$256</f>
        <v>124820807.76763</v>
      </c>
      <c r="G253" s="83" t="n">
        <f aca="false">Calculos!$F$256</f>
        <v>168784042.387817</v>
      </c>
    </row>
    <row r="254" customFormat="false" ht="12.8" hidden="false" customHeight="false" outlineLevel="0" collapsed="false">
      <c r="A254" s="0" t="s">
        <v>324</v>
      </c>
      <c r="B254" s="83"/>
      <c r="C254" s="83" t="n">
        <f aca="false">MAX(0,Calculos!$C$252-Calculos!$C$253)</f>
        <v>0</v>
      </c>
      <c r="D254" s="83" t="n">
        <f aca="false">MAX(0,Calculos!$D$252-Calculos!$D$253)</f>
        <v>0</v>
      </c>
      <c r="E254" s="83" t="n">
        <f aca="false">MAX(0,Calculos!$E$252-Calculos!$E$253)</f>
        <v>0</v>
      </c>
      <c r="F254" s="83" t="n">
        <f aca="false">MAX(0,Calculos!$F$252-Calculos!$F$253)</f>
        <v>0</v>
      </c>
      <c r="G254" s="83" t="n">
        <f aca="false">MAX(0,Calculos!$G$252-Calculos!$G$253)</f>
        <v>0</v>
      </c>
    </row>
    <row r="255" customFormat="false" ht="12.8" hidden="false" customHeight="false" outlineLevel="0" collapsed="false">
      <c r="A255" s="0" t="s">
        <v>325</v>
      </c>
      <c r="B255" s="83"/>
      <c r="C255" s="83" t="n">
        <f aca="false">Calculos!$C$254*Inputs!$C$21</f>
        <v>0</v>
      </c>
      <c r="D255" s="83" t="n">
        <f aca="false">Calculos!$D$254*Inputs!$C$22</f>
        <v>0</v>
      </c>
      <c r="E255" s="83" t="n">
        <f aca="false">Calculos!$E$254*Inputs!$C$23</f>
        <v>0</v>
      </c>
      <c r="F255" s="83" t="n">
        <f aca="false">Calculos!$F$254*Inputs!$C$24</f>
        <v>0</v>
      </c>
      <c r="G255" s="83" t="n">
        <f aca="false">Calculos!$G$254*Inputs!$C$25</f>
        <v>0</v>
      </c>
    </row>
    <row r="256" customFormat="false" ht="12.8" hidden="false" customHeight="false" outlineLevel="0" collapsed="false">
      <c r="A256" s="0" t="s">
        <v>326</v>
      </c>
      <c r="B256" s="83"/>
      <c r="C256" s="83" t="n">
        <f aca="false">MAX(0,Calculos!$C$253-Calculos!$C$252)</f>
        <v>40463266.50805</v>
      </c>
      <c r="D256" s="83" t="n">
        <f aca="false">MAX(0,Calculos!$D$253-Calculos!$D$252)</f>
        <v>82058878.971044</v>
      </c>
      <c r="E256" s="83" t="n">
        <f aca="false">MAX(0,Calculos!$E$253-Calculos!$E$252)</f>
        <v>124820807.76763</v>
      </c>
      <c r="F256" s="83" t="n">
        <f aca="false">MAX(0,Calculos!$F$253-Calculos!$F$252)</f>
        <v>168784042.387817</v>
      </c>
      <c r="G256" s="83" t="n">
        <f aca="false">MAX(0,Calculos!$G$253-Calculos!$G$252)</f>
        <v>213984622.006311</v>
      </c>
    </row>
    <row r="257" customFormat="false" ht="12.8" hidden="false" customHeight="false" outlineLevel="0" collapsed="false">
      <c r="A257" s="0" t="s">
        <v>327</v>
      </c>
      <c r="B257" s="83"/>
      <c r="C257" s="83" t="n">
        <f aca="false">Calculos!$C$247*Inputs!$C$47/365+Calculos!$C$248*Inputs!$C$48/365-Calculos!$C$248*Inputs!$C$49/365</f>
        <v>5686589.65334795</v>
      </c>
      <c r="D257" s="83" t="n">
        <f aca="false">Calculos!$D$247*Inputs!$C$47/365+Calculos!$D$248*Inputs!$C$48/365-Calculos!$D$248*Inputs!$C$49/365</f>
        <v>5857187.34294838</v>
      </c>
      <c r="E257" s="83" t="n">
        <f aca="false">Calculos!$E$247*Inputs!$C$47/365+Calculos!$E$248*Inputs!$C$48/365-Calculos!$E$248*Inputs!$C$49/365</f>
        <v>6032902.96323684</v>
      </c>
      <c r="F257" s="83" t="n">
        <f aca="false">Calculos!$F$247*Inputs!$C$47/365+Calculos!$F$248*Inputs!$C$48/365-Calculos!$F$248*Inputs!$C$49/365</f>
        <v>6213890.05213394</v>
      </c>
      <c r="G257" s="83" t="n">
        <f aca="false">Calculos!$G$247*Inputs!$C$47/365+Calculos!$G$248*Inputs!$C$48/365-Calculos!$G$248*Inputs!$C$49/365</f>
        <v>6400306.75369796</v>
      </c>
    </row>
    <row r="258" customFormat="false" ht="12.8" hidden="false" customHeight="false" outlineLevel="0" collapsed="false">
      <c r="A258" s="0" t="s">
        <v>328</v>
      </c>
      <c r="B258" s="83"/>
      <c r="C258" s="83" t="n">
        <f aca="false">Calculos!$C$257-Calculos!$C$257</f>
        <v>0</v>
      </c>
      <c r="D258" s="83" t="n">
        <f aca="false">Calculos!$D$257-Calculos!$C$257</f>
        <v>170597.689600437</v>
      </c>
      <c r="E258" s="83" t="n">
        <f aca="false">Calculos!$E$257-Calculos!$D$257</f>
        <v>175715.620288451</v>
      </c>
      <c r="F258" s="83" t="n">
        <f aca="false">Calculos!$F$257-Calculos!$E$257</f>
        <v>180987.088897106</v>
      </c>
      <c r="G258" s="83" t="n">
        <f aca="false">Calculos!$G$257-Calculos!$F$257</f>
        <v>186416.701564018</v>
      </c>
    </row>
    <row r="259" customFormat="false" ht="12.8" hidden="false" customHeight="false" outlineLevel="0" collapsed="false">
      <c r="A259" s="0" t="s">
        <v>329</v>
      </c>
      <c r="B259" s="83"/>
      <c r="C259" s="83" t="n">
        <f aca="false">0</f>
        <v>0</v>
      </c>
      <c r="D259" s="83" t="n">
        <f aca="false">0</f>
        <v>0</v>
      </c>
      <c r="E259" s="83" t="n">
        <f aca="false">0</f>
        <v>0</v>
      </c>
      <c r="F259" s="83" t="n">
        <f aca="false">0</f>
        <v>0</v>
      </c>
      <c r="G259" s="83" t="n">
        <f aca="false">Calculos!$B$239-MAX(0,(Calculos!$B$239-MAX(0,Calculos!$B$236-Calculos!$B$238*5)))*Inputs!$C$25+Calculos!$G$257+Calculos!$B$240</f>
        <v>10638148.096948</v>
      </c>
    </row>
    <row r="260" customFormat="false" ht="12.8" hidden="false" customHeight="false" outlineLevel="0" collapsed="false">
      <c r="A260" s="0" t="s">
        <v>330</v>
      </c>
      <c r="B260" s="83" t="n">
        <f aca="false">-(Calculos!$B$237+Calculos!$B$240+Calculos!$C$257)</f>
        <v>-36890043.0858479</v>
      </c>
      <c r="C260" s="83" t="n">
        <f aca="false">Calculos!$C$250-Calculos!$C$255-Calculos!$C$258+Calculos!$C$259</f>
        <v>-37744865.1648</v>
      </c>
      <c r="D260" s="83" t="n">
        <f aca="false">Calculos!$D$250-Calculos!$D$255-Calculos!$D$258+Calculos!$D$259</f>
        <v>-39047808.8093444</v>
      </c>
      <c r="E260" s="83" t="n">
        <f aca="false">Calculos!$E$250-Calculos!$E$255-Calculos!$E$258+Calculos!$E$259</f>
        <v>-40219243.0736248</v>
      </c>
      <c r="F260" s="83" t="n">
        <f aca="false">Calculos!$F$250-Calculos!$F$255-Calculos!$F$258+Calculos!$F$259</f>
        <v>-41425820.3658335</v>
      </c>
      <c r="G260" s="83" t="n">
        <f aca="false">Calculos!$G$250-Calculos!$G$255-Calculos!$G$258+Calculos!$G$259</f>
        <v>-32030446.8798606</v>
      </c>
    </row>
    <row r="261" customFormat="false" ht="12.8" hidden="false" customHeight="false" outlineLevel="0" collapsed="false">
      <c r="A261" s="0" t="s">
        <v>331</v>
      </c>
      <c r="B261" s="83" t="n">
        <v>1</v>
      </c>
      <c r="C261" s="83" t="n">
        <f aca="false">1/(1+Inputs!$C$6)^1</f>
        <v>0.830151087497925</v>
      </c>
      <c r="D261" s="83" t="n">
        <f aca="false">1/(1+Inputs!$C$6)^2</f>
        <v>0.689150828073987</v>
      </c>
      <c r="E261" s="83" t="n">
        <f aca="false">1/(1+Inputs!$C$6)^3</f>
        <v>0.572099309375715</v>
      </c>
      <c r="F261" s="83" t="n">
        <f aca="false">1/(1+Inputs!$C$6)^4</f>
        <v>0.474928863835062</v>
      </c>
      <c r="G261" s="83" t="n">
        <f aca="false">1/(1+Inputs!$C$6)^5</f>
        <v>0.39426271279683</v>
      </c>
    </row>
    <row r="262" customFormat="false" ht="12.8" hidden="false" customHeight="false" outlineLevel="0" collapsed="false">
      <c r="A262" s="0" t="s">
        <v>332</v>
      </c>
      <c r="B262" s="83" t="n">
        <f aca="false">Calculos!$B$260</f>
        <v>-36890043.0858479</v>
      </c>
      <c r="C262" s="83" t="n">
        <f aca="false">Calculos!$C$260*Calculos!$C$261</f>
        <v>-31333940.8640213</v>
      </c>
      <c r="D262" s="83" t="n">
        <f aca="false">Calculos!$D$260*Calculos!$D$261</f>
        <v>-26909829.7754344</v>
      </c>
      <c r="E262" s="83" t="n">
        <f aca="false">Calculos!$E$260*Calculos!$E$261</f>
        <v>-23009401.1860348</v>
      </c>
      <c r="F262" s="83" t="n">
        <f aca="false">Calculos!$F$260*Calculos!$F$261</f>
        <v>-19674317.7997807</v>
      </c>
      <c r="G262" s="83" t="n">
        <f aca="false">Calculos!$G$260*Calculos!$G$261</f>
        <v>-12628410.8789486</v>
      </c>
    </row>
    <row r="263" customFormat="false" ht="12.8" hidden="false" customHeight="false" outlineLevel="0" collapsed="false">
      <c r="A263" s="0" t="s">
        <v>333</v>
      </c>
      <c r="B263" s="83" t="n">
        <f aca="false">Calculos!$B$260</f>
        <v>-36890043.0858479</v>
      </c>
      <c r="C263" s="83" t="n">
        <f aca="false">Calculos!$B$263+Calculos!$C$260</f>
        <v>-74634908.250648</v>
      </c>
      <c r="D263" s="83" t="n">
        <f aca="false">Calculos!$C$263+Calculos!$D$260</f>
        <v>-113682717.059992</v>
      </c>
      <c r="E263" s="83" t="n">
        <f aca="false">Calculos!$D$263+Calculos!$E$260</f>
        <v>-153901960.133617</v>
      </c>
      <c r="F263" s="83" t="n">
        <f aca="false">Calculos!$E$263+Calculos!$F$260</f>
        <v>-195327780.499451</v>
      </c>
      <c r="G263" s="83" t="n">
        <f aca="false">Calculos!$F$263+Calculos!$G$260</f>
        <v>-227358227.379311</v>
      </c>
    </row>
    <row r="264" customFormat="false" ht="12.8" hidden="false" customHeight="false" outlineLevel="0" collapsed="false">
      <c r="A264" s="0" t="s">
        <v>334</v>
      </c>
      <c r="B264" s="83" t="n">
        <f aca="false">Calculos!$B$262</f>
        <v>-36890043.0858479</v>
      </c>
      <c r="C264" s="83" t="n">
        <f aca="false">Calculos!$B$264+Calculos!$C$262</f>
        <v>-68223983.9498692</v>
      </c>
      <c r="D264" s="83" t="n">
        <f aca="false">Calculos!$C$264+Calculos!$D$262</f>
        <v>-95133813.7253036</v>
      </c>
      <c r="E264" s="83" t="n">
        <f aca="false">Calculos!$D$264+Calculos!$E$262</f>
        <v>-118143214.911338</v>
      </c>
      <c r="F264" s="83" t="n">
        <f aca="false">Calculos!$E$264+Calculos!$F$262</f>
        <v>-137817532.711119</v>
      </c>
      <c r="G264" s="83" t="n">
        <f aca="false">Calculos!$F$264+Calculos!$G$262</f>
        <v>-150445943.590068</v>
      </c>
    </row>
    <row r="266" customFormat="false" ht="12.8" hidden="false" customHeight="false" outlineLevel="0" collapsed="false">
      <c r="A266" s="0" t="s">
        <v>3</v>
      </c>
      <c r="B266" s="83" t="n">
        <f aca="false">-Calculos!$B$260</f>
        <v>36890043.0858479</v>
      </c>
    </row>
    <row r="267" customFormat="false" ht="12.8" hidden="false" customHeight="false" outlineLevel="0" collapsed="false">
      <c r="A267" s="0" t="s">
        <v>7</v>
      </c>
      <c r="B267" s="83" t="n">
        <f aca="false">SUM(Calculos!$B$262:$G$262)</f>
        <v>-150445943.590068</v>
      </c>
    </row>
    <row r="268" customFormat="false" ht="12.8" hidden="false" customHeight="false" outlineLevel="0" collapsed="false">
      <c r="A268" s="0" t="s">
        <v>9</v>
      </c>
      <c r="B268" s="84" t="e">
        <f aca="false">IFERROR(IRR(Calculos!$B$260:$G$260),NA())</f>
        <v>#N/A</v>
      </c>
    </row>
    <row r="269" customFormat="false" ht="12.8" hidden="false" customHeight="false" outlineLevel="0" collapsed="false">
      <c r="A269" s="0" t="s">
        <v>10</v>
      </c>
      <c r="B269" s="0" t="e">
        <f aca="false">IFERROR(IF(Calculos!$C$264&gt;=0,0+(-Calculos!$B$264/Calculos!$C$262),IF(Calculos!$D$264&gt;=0,1+(-Calculos!$C$264/Calculos!$D$262),IF(Calculos!$E$264&gt;=0,2+(-Calculos!$D$264/Calculos!$E$262),IF(Calculos!$F$264&gt;=0,3+(-Calculos!$E$264/Calculos!$F$262),IF(Calculos!$G$264&gt;=0,4+(-Calculos!$F$264/Calculos!$G$262),NA()))))),NA())</f>
        <v>#N/A</v>
      </c>
    </row>
    <row r="270" customFormat="false" ht="12.8" hidden="false" customHeight="false" outlineLevel="0" collapsed="false">
      <c r="A270" s="0" t="s">
        <v>12</v>
      </c>
      <c r="B270" s="0" t="n">
        <f aca="false">(Calculos!$C$262+Calculos!$D$262+Calculos!$E$262+Calculos!$F$262+Calculos!$G$262)/(-Calculos!$B$260)</f>
        <v>-3.07822629103361</v>
      </c>
    </row>
    <row r="271" customFormat="false" ht="12.8" hidden="false" customHeight="false" outlineLevel="0" collapsed="false">
      <c r="A271" s="0" t="s">
        <v>5</v>
      </c>
      <c r="B271" s="83" t="n">
        <f aca="false">-MIN(Calculos!$B$263:$G$263)</f>
        <v>227358227.379311</v>
      </c>
    </row>
    <row r="272" customFormat="false" ht="12.8" hidden="false" customHeight="false" outlineLevel="0" collapsed="false">
      <c r="A272" s="0" t="s">
        <v>363</v>
      </c>
      <c r="B272" s="0" t="n">
        <f aca="false">IF((Calculos!$C$245-Calculos!$C$246)&gt;0,Calculos!$C$249/(Calculos!$C$245-Calculos!$C$246)/12,NA())</f>
        <v>6489.55691809739</v>
      </c>
    </row>
    <row r="273" customFormat="false" ht="12.8" hidden="false" customHeight="false" outlineLevel="0" collapsed="false">
      <c r="A273" s="0" t="s">
        <v>364</v>
      </c>
      <c r="B273" s="0" t="n">
        <f aca="false">IF(AND(Inputs!$C$51&gt;0,Inputs!$C$52&gt;0),Inputs!$C$51*Inputs!$C$52*12,NA())</f>
        <v>15840</v>
      </c>
    </row>
    <row r="274" customFormat="false" ht="12.8" hidden="false" customHeight="false" outlineLevel="0" collapsed="false">
      <c r="A274" s="0" t="s">
        <v>365</v>
      </c>
      <c r="B274" s="0" t="n">
        <f aca="false">IFERROR(Calculos!$G$243/Calculos!$B$273,NA())</f>
        <v>1</v>
      </c>
    </row>
    <row r="275" customFormat="false" ht="12.8" hidden="false" customHeight="false" outlineLevel="0" collapsed="false">
      <c r="A275" s="0" t="s">
        <v>366</v>
      </c>
      <c r="B275" s="0" t="n">
        <f aca="false">IFERROR(Calculos!$B$272*12/Calculos!$B$273,NA())</f>
        <v>4.91633099855863</v>
      </c>
    </row>
    <row r="276" customFormat="false" ht="12.8" hidden="false" customHeight="false" outlineLevel="0" collapsed="false">
      <c r="A276" s="0" t="s">
        <v>367</v>
      </c>
      <c r="B276" s="0" t="n">
        <f aca="false">IFERROR(Calculos!$B$267/Calculos!$B$271,NA())</f>
        <v>-0.661713214974501</v>
      </c>
    </row>
    <row r="279" customFormat="false" ht="12.8" hidden="false" customHeight="false" outlineLevel="0" collapsed="false">
      <c r="A279" s="81" t="s">
        <v>372</v>
      </c>
      <c r="B279" s="81"/>
      <c r="C279" s="81"/>
      <c r="D279" s="81"/>
      <c r="E279" s="81"/>
      <c r="F279" s="81"/>
      <c r="G279" s="81"/>
    </row>
    <row r="280" customFormat="false" ht="12.8" hidden="false" customHeight="false" outlineLevel="0" collapsed="false">
      <c r="A280" s="0" t="s">
        <v>316</v>
      </c>
      <c r="B280" s="0" t="n">
        <f aca="false">1</f>
        <v>1</v>
      </c>
    </row>
    <row r="281" customFormat="false" ht="12.8" hidden="false" customHeight="false" outlineLevel="0" collapsed="false">
      <c r="A281" s="0" t="s">
        <v>315</v>
      </c>
      <c r="B281" s="82" t="n">
        <f aca="false">Inputs!$C$87</f>
        <v>1</v>
      </c>
    </row>
    <row r="282" customFormat="false" ht="12.8" hidden="false" customHeight="false" outlineLevel="0" collapsed="false">
      <c r="A282" s="0" t="s">
        <v>348</v>
      </c>
      <c r="B282" s="0" t="n">
        <f aca="false">1</f>
        <v>1</v>
      </c>
    </row>
    <row r="283" customFormat="false" ht="12.8" hidden="false" customHeight="false" outlineLevel="0" collapsed="false">
      <c r="A283" s="0" t="s">
        <v>349</v>
      </c>
      <c r="B283" s="0" t="n">
        <f aca="false">1</f>
        <v>1</v>
      </c>
    </row>
    <row r="284" customFormat="false" ht="12.8" hidden="false" customHeight="false" outlineLevel="0" collapsed="false">
      <c r="A284" s="0" t="s">
        <v>350</v>
      </c>
      <c r="B284" s="0" t="n">
        <f aca="false">1</f>
        <v>1</v>
      </c>
    </row>
    <row r="286" customFormat="false" ht="12.8" hidden="false" customHeight="false" outlineLevel="0" collapsed="false">
      <c r="A286" s="0" t="s">
        <v>351</v>
      </c>
      <c r="B286" s="83" t="n">
        <f aca="false">IF(Inputs!$C$61&gt;0,Inputs!$C$61,Inputs!$C$53+Inputs!$C$54+Inputs!$C$55+Inputs!$C$56+Inputs!$C$57+Inputs!$C$58+Inputs!$C$59+Inputs!$C$60)</f>
        <v>10120237</v>
      </c>
    </row>
    <row r="287" customFormat="false" ht="12.8" hidden="false" customHeight="false" outlineLevel="0" collapsed="false">
      <c r="A287" s="0" t="s">
        <v>352</v>
      </c>
      <c r="B287" s="83" t="n">
        <f aca="false">Calculos!$B$286*Inputs!$C$62</f>
        <v>1518035.55</v>
      </c>
    </row>
    <row r="288" customFormat="false" ht="12.8" hidden="false" customHeight="false" outlineLevel="0" collapsed="false">
      <c r="A288" s="0" t="s">
        <v>353</v>
      </c>
      <c r="B288" s="83" t="n">
        <f aca="false">IF(Inputs!$C$39&gt;0,Inputs!$C$39,Inputs!$C$37*Inputs!$C$38)</f>
        <v>759720</v>
      </c>
    </row>
    <row r="289" customFormat="false" ht="12.8" hidden="false" customHeight="false" outlineLevel="0" collapsed="false">
      <c r="A289" s="0" t="s">
        <v>354</v>
      </c>
      <c r="B289" s="83" t="n">
        <f aca="false">((Inputs!$C$26*Inputs!$C$34+Inputs!$C$27*Inputs!$C$35+Inputs!$C$28*Inputs!$C$36+Inputs!$C$29)*(1+Inputs!$C$33)+Inputs!$C$30+Inputs!$C$31+Inputs!$C$32)</f>
        <v>2433.274</v>
      </c>
    </row>
    <row r="290" customFormat="false" ht="12.8" hidden="false" customHeight="false" outlineLevel="0" collapsed="false">
      <c r="A290" s="0" t="s">
        <v>355</v>
      </c>
      <c r="B290" s="83" t="n">
        <f aca="false">(Calculos!$B$288+IF(Inputs!$C$50&gt;0,Inputs!$C$50,Inputs!$C$40*Inputs!$C$41)+Inputs!$C$42+Inputs!$C$43+Inputs!$C$44+Inputs!$C$45+Inputs!$C$46)</f>
        <v>3833550</v>
      </c>
    </row>
    <row r="291" customFormat="false" ht="12.8" hidden="false" customHeight="false" outlineLevel="0" collapsed="false">
      <c r="A291" s="0" t="s">
        <v>356</v>
      </c>
      <c r="B291" s="83" t="n">
        <f aca="false">(Calculos!$B$286+Calculos!$B$287+Inputs!$C$63)*(1+Inputs!$C$66)*Calculos!$B$284</f>
        <v>27184013.4325</v>
      </c>
    </row>
    <row r="292" customFormat="false" ht="12.8" hidden="false" customHeight="false" outlineLevel="0" collapsed="false">
      <c r="A292" s="0" t="s">
        <v>357</v>
      </c>
      <c r="B292" s="83" t="n">
        <f aca="false">Calculos!$B$291+(Inputs!$C$64+Inputs!$C$65)*Calculos!$B$284</f>
        <v>29684013.4325</v>
      </c>
    </row>
    <row r="293" customFormat="false" ht="12.8" hidden="false" customHeight="false" outlineLevel="0" collapsed="false">
      <c r="A293" s="0" t="s">
        <v>358</v>
      </c>
      <c r="B293" s="83" t="n">
        <f aca="false">Calculos!$B$291/Inputs!$C$68</f>
        <v>2718401.34325</v>
      </c>
    </row>
    <row r="294" customFormat="false" ht="12.8" hidden="false" customHeight="false" outlineLevel="0" collapsed="false">
      <c r="A294" s="0" t="s">
        <v>359</v>
      </c>
      <c r="B294" s="83" t="n">
        <f aca="false">Calculos!$B$291*Inputs!$C$69</f>
        <v>2718401.34325</v>
      </c>
    </row>
    <row r="295" customFormat="false" ht="12.8" hidden="false" customHeight="false" outlineLevel="0" collapsed="false">
      <c r="A295" s="0" t="s">
        <v>360</v>
      </c>
      <c r="B295" s="83" t="n">
        <f aca="false">Calculos!$B$288*Inputs!$C$67</f>
        <v>1519440</v>
      </c>
    </row>
    <row r="297" customFormat="false" ht="18.45" hidden="false" customHeight="true" outlineLevel="0" collapsed="false">
      <c r="A297" s="45" t="s">
        <v>294</v>
      </c>
      <c r="B297" s="45" t="s">
        <v>309</v>
      </c>
      <c r="C297" s="45" t="s">
        <v>310</v>
      </c>
      <c r="D297" s="45" t="s">
        <v>311</v>
      </c>
      <c r="E297" s="45" t="s">
        <v>312</v>
      </c>
      <c r="F297" s="45" t="s">
        <v>313</v>
      </c>
      <c r="G297" s="45" t="s">
        <v>314</v>
      </c>
    </row>
    <row r="298" customFormat="false" ht="12.8" hidden="false" customHeight="false" outlineLevel="0" collapsed="false">
      <c r="A298" s="0" t="s">
        <v>315</v>
      </c>
      <c r="C298" s="0" t="n">
        <f aca="false">IF(AND(Inputs!$C$51&gt;0,Inputs!$C$52&gt;0),MIN((IF(Inputs!$C$11&gt;0,Inputs!$C$11*12,Inputs!$C$12))*Calculos!$B$281,Inputs!$C$51*Inputs!$C$52*12),(IF(Inputs!$C$11&gt;0,Inputs!$C$11*12,Inputs!$C$12))*Calculos!$B$281)</f>
        <v>15840</v>
      </c>
      <c r="D298" s="0" t="n">
        <f aca="false">IF(AND(Inputs!$C$51&gt;0,Inputs!$C$52&gt;0),MIN((IF(Inputs!$C$11&gt;0,Inputs!$C$11*12,Inputs!$C$12)*IF(Inputs!$C$17&gt;0,Inputs!$C$17,Inputs!$C$13/Inputs!$C$12))*Calculos!$B$281,Inputs!$C$51*Inputs!$C$52*12),(IF(Inputs!$C$11&gt;0,Inputs!$C$11*12,Inputs!$C$12)*IF(Inputs!$C$17&gt;0,Inputs!$C$17,Inputs!$C$13/Inputs!$C$12))*Calculos!$B$281)</f>
        <v>15840</v>
      </c>
      <c r="E298" s="0" t="n">
        <f aca="false">IF(AND(Inputs!$C$51&gt;0,Inputs!$C$52&gt;0),MIN((IF(Inputs!$C$11&gt;0,Inputs!$C$11*12,Inputs!$C$12)*IF(Inputs!$C$18&gt;0,Inputs!$C$18,Inputs!$C$14/Inputs!$C$12))*Calculos!$B$281,Inputs!$C$51*Inputs!$C$52*12),(IF(Inputs!$C$11&gt;0,Inputs!$C$11*12,Inputs!$C$12)*IF(Inputs!$C$18&gt;0,Inputs!$C$18,Inputs!$C$14/Inputs!$C$12))*Calculos!$B$281)</f>
        <v>15840</v>
      </c>
      <c r="F298" s="0" t="n">
        <f aca="false">IF(AND(Inputs!$C$51&gt;0,Inputs!$C$52&gt;0),MIN((IF(Inputs!$C$11&gt;0,Inputs!$C$11*12,Inputs!$C$12)*IF(Inputs!$C$19&gt;0,Inputs!$C$19,Inputs!$C$15/Inputs!$C$12))*Calculos!$B$281,Inputs!$C$51*Inputs!$C$52*12),(IF(Inputs!$C$11&gt;0,Inputs!$C$11*12,Inputs!$C$12)*IF(Inputs!$C$19&gt;0,Inputs!$C$19,Inputs!$C$15/Inputs!$C$12))*Calculos!$B$281)</f>
        <v>15840</v>
      </c>
      <c r="G298" s="0" t="n">
        <f aca="false">IF(AND(Inputs!$C$51&gt;0,Inputs!$C$52&gt;0),MIN((IF(Inputs!$C$11&gt;0,Inputs!$C$11*12,Inputs!$C$12)*IF(Inputs!$C$20&gt;0,Inputs!$C$20,Inputs!$C$16/Inputs!$C$12))*Calculos!$B$281,Inputs!$C$51*Inputs!$C$52*12),(IF(Inputs!$C$11&gt;0,Inputs!$C$11*12,Inputs!$C$12)*IF(Inputs!$C$20&gt;0,Inputs!$C$20,Inputs!$C$16/Inputs!$C$12))*Calculos!$B$281)</f>
        <v>15840</v>
      </c>
    </row>
    <row r="299" customFormat="false" ht="12.8" hidden="false" customHeight="false" outlineLevel="0" collapsed="false">
      <c r="A299" s="0" t="s">
        <v>361</v>
      </c>
      <c r="C299" s="0" t="n">
        <f aca="false">(1+Inputs!$C$7)^1</f>
        <v>1.03</v>
      </c>
      <c r="D299" s="0" t="n">
        <f aca="false">(1+Inputs!$C$7)^2</f>
        <v>1.0609</v>
      </c>
      <c r="E299" s="0" t="n">
        <f aca="false">(1+Inputs!$C$7)^3</f>
        <v>1.092727</v>
      </c>
      <c r="F299" s="0" t="n">
        <f aca="false">(1+Inputs!$C$7)^4</f>
        <v>1.12550881</v>
      </c>
      <c r="G299" s="0" t="n">
        <f aca="false">(1+Inputs!$C$7)^5</f>
        <v>1.1592740743</v>
      </c>
    </row>
    <row r="300" customFormat="false" ht="12.8" hidden="false" customHeight="false" outlineLevel="0" collapsed="false">
      <c r="A300" s="0" t="s">
        <v>316</v>
      </c>
      <c r="B300" s="83"/>
      <c r="C300" s="83" t="n">
        <f aca="false">Inputs!$C$10*Calculos!$B$280*Calculos!$C$299</f>
        <v>4326</v>
      </c>
      <c r="D300" s="83" t="n">
        <f aca="false">Inputs!$C$10*Calculos!$B$280*Calculos!$D$299</f>
        <v>4455.78</v>
      </c>
      <c r="E300" s="83" t="n">
        <f aca="false">Inputs!$C$10*Calculos!$B$280*Calculos!$E$299</f>
        <v>4589.4534</v>
      </c>
      <c r="F300" s="83" t="n">
        <f aca="false">Inputs!$C$10*Calculos!$B$280*Calculos!$F$299</f>
        <v>4727.137002</v>
      </c>
      <c r="G300" s="83" t="n">
        <f aca="false">Inputs!$C$10*Calculos!$B$280*Calculos!$G$299</f>
        <v>4868.95111206</v>
      </c>
    </row>
    <row r="301" customFormat="false" ht="12.8" hidden="false" customHeight="false" outlineLevel="0" collapsed="false">
      <c r="A301" s="0" t="s">
        <v>362</v>
      </c>
      <c r="B301" s="83"/>
      <c r="C301" s="83" t="n">
        <f aca="false">Calculos!$B$289*Calculos!$B$282*Calculos!$C$299</f>
        <v>2506.27222</v>
      </c>
      <c r="D301" s="83" t="n">
        <f aca="false">Calculos!$B$289*Calculos!$B$282*Calculos!$D$299</f>
        <v>2581.4603866</v>
      </c>
      <c r="E301" s="83" t="n">
        <f aca="false">Calculos!$B$289*Calculos!$B$282*Calculos!$E$299</f>
        <v>2658.904198198</v>
      </c>
      <c r="F301" s="83" t="n">
        <f aca="false">Calculos!$B$289*Calculos!$B$282*Calculos!$F$299</f>
        <v>2738.67132414394</v>
      </c>
      <c r="G301" s="83" t="n">
        <f aca="false">Calculos!$B$289*Calculos!$B$282*Calculos!$G$299</f>
        <v>2820.83146386826</v>
      </c>
    </row>
    <row r="302" customFormat="false" ht="12.8" hidden="false" customHeight="false" outlineLevel="0" collapsed="false">
      <c r="A302" s="0" t="s">
        <v>317</v>
      </c>
      <c r="B302" s="83"/>
      <c r="C302" s="83" t="n">
        <f aca="false">Calculos!$C$298*Calculos!$C$300</f>
        <v>68523840</v>
      </c>
      <c r="D302" s="83" t="n">
        <f aca="false">Calculos!$D$298*Calculos!$D$300</f>
        <v>70579555.2</v>
      </c>
      <c r="E302" s="83" t="n">
        <f aca="false">Calculos!$E$298*Calculos!$E$300</f>
        <v>72696941.856</v>
      </c>
      <c r="F302" s="83" t="n">
        <f aca="false">Calculos!$F$298*Calculos!$F$300</f>
        <v>74877850.11168</v>
      </c>
      <c r="G302" s="83" t="n">
        <f aca="false">Calculos!$G$298*Calculos!$G$300</f>
        <v>77124185.6150304</v>
      </c>
    </row>
    <row r="303" customFormat="false" ht="12.8" hidden="false" customHeight="false" outlineLevel="0" collapsed="false">
      <c r="A303" s="0" t="s">
        <v>318</v>
      </c>
      <c r="B303" s="83"/>
      <c r="C303" s="83" t="n">
        <f aca="false">Calculos!$C$298*Calculos!$C$301</f>
        <v>39699351.9648</v>
      </c>
      <c r="D303" s="83" t="n">
        <f aca="false">Calculos!$D$298*Calculos!$D$301</f>
        <v>40890332.523744</v>
      </c>
      <c r="E303" s="83" t="n">
        <f aca="false">Calculos!$E$298*Calculos!$E$301</f>
        <v>42117042.4994563</v>
      </c>
      <c r="F303" s="83" t="n">
        <f aca="false">Calculos!$F$298*Calculos!$F$301</f>
        <v>43380553.77444</v>
      </c>
      <c r="G303" s="83" t="n">
        <f aca="false">Calculos!$G$298*Calculos!$G$301</f>
        <v>44681970.3876732</v>
      </c>
    </row>
    <row r="304" customFormat="false" ht="12.8" hidden="false" customHeight="false" outlineLevel="0" collapsed="false">
      <c r="A304" s="0" t="s">
        <v>319</v>
      </c>
      <c r="B304" s="83"/>
      <c r="C304" s="83" t="n">
        <f aca="false">Calculos!$B$290*12*Calculos!$B$283*Calculos!$C$299</f>
        <v>47382678</v>
      </c>
      <c r="D304" s="83" t="n">
        <f aca="false">Calculos!$B$290*12*Calculos!$B$283*Calculos!$D$299</f>
        <v>48804158.34</v>
      </c>
      <c r="E304" s="83" t="n">
        <f aca="false">Calculos!$B$290*12*Calculos!$B$283*Calculos!$E$299</f>
        <v>50268283.0902</v>
      </c>
      <c r="F304" s="83" t="n">
        <f aca="false">Calculos!$B$290*12*Calculos!$B$283*Calculos!$F$299</f>
        <v>51776331.582906</v>
      </c>
      <c r="G304" s="83" t="n">
        <f aca="false">Calculos!$B$290*12*Calculos!$B$283*Calculos!$G$299</f>
        <v>53329621.5303932</v>
      </c>
    </row>
    <row r="305" customFormat="false" ht="12.8" hidden="false" customHeight="false" outlineLevel="0" collapsed="false">
      <c r="A305" s="0" t="s">
        <v>320</v>
      </c>
      <c r="B305" s="83"/>
      <c r="C305" s="83" t="n">
        <f aca="false">Calculos!$C$302-Calculos!$C$303-Calculos!$C$304</f>
        <v>-18558189.9648</v>
      </c>
      <c r="D305" s="83" t="n">
        <f aca="false">Calculos!$D$302-Calculos!$D$303-Calculos!$D$304</f>
        <v>-19114935.663744</v>
      </c>
      <c r="E305" s="83" t="n">
        <f aca="false">Calculos!$E$302-Calculos!$E$303-Calculos!$E$304</f>
        <v>-19688383.7336563</v>
      </c>
      <c r="F305" s="83" t="n">
        <f aca="false">Calculos!$F$302-Calculos!$F$303-Calculos!$F$304</f>
        <v>-20279035.245666</v>
      </c>
      <c r="G305" s="83" t="n">
        <f aca="false">Calculos!$G$302-Calculos!$G$303-Calculos!$G$304</f>
        <v>-20887406.303036</v>
      </c>
    </row>
    <row r="306" customFormat="false" ht="12.8" hidden="false" customHeight="false" outlineLevel="0" collapsed="false">
      <c r="A306" s="0" t="s">
        <v>321</v>
      </c>
      <c r="B306" s="83"/>
      <c r="C306" s="83" t="n">
        <f aca="false">Calculos!$B$293</f>
        <v>2718401.34325</v>
      </c>
      <c r="D306" s="83" t="n">
        <f aca="false">Calculos!$B$293</f>
        <v>2718401.34325</v>
      </c>
      <c r="E306" s="83" t="n">
        <f aca="false">Calculos!$B$293</f>
        <v>2718401.34325</v>
      </c>
      <c r="F306" s="83" t="n">
        <f aca="false">Calculos!$B$293</f>
        <v>2718401.34325</v>
      </c>
      <c r="G306" s="83" t="n">
        <f aca="false">Calculos!$B$293</f>
        <v>2718401.34325</v>
      </c>
    </row>
    <row r="307" customFormat="false" ht="12.8" hidden="false" customHeight="false" outlineLevel="0" collapsed="false">
      <c r="A307" s="0" t="s">
        <v>322</v>
      </c>
      <c r="B307" s="83"/>
      <c r="C307" s="83" t="n">
        <f aca="false">Calculos!$C$305-Calculos!$C$306</f>
        <v>-21276591.30805</v>
      </c>
      <c r="D307" s="83" t="n">
        <f aca="false">Calculos!$D$305-Calculos!$D$306</f>
        <v>-21833337.006994</v>
      </c>
      <c r="E307" s="83" t="n">
        <f aca="false">Calculos!$E$305-Calculos!$E$306</f>
        <v>-22406785.0769063</v>
      </c>
      <c r="F307" s="83" t="n">
        <f aca="false">Calculos!$F$305-Calculos!$F$306</f>
        <v>-22997436.588916</v>
      </c>
      <c r="G307" s="83" t="n">
        <f aca="false">Calculos!$G$305-Calculos!$G$306</f>
        <v>-23605807.646286</v>
      </c>
    </row>
    <row r="308" customFormat="false" ht="12.8" hidden="false" customHeight="false" outlineLevel="0" collapsed="false">
      <c r="A308" s="0" t="s">
        <v>323</v>
      </c>
      <c r="B308" s="83"/>
      <c r="C308" s="83" t="n">
        <f aca="false">0</f>
        <v>0</v>
      </c>
      <c r="D308" s="83" t="n">
        <f aca="false">Calculos!$C$311</f>
        <v>21276591.30805</v>
      </c>
      <c r="E308" s="83" t="n">
        <f aca="false">Calculos!$D$311</f>
        <v>43109928.315044</v>
      </c>
      <c r="F308" s="83" t="n">
        <f aca="false">Calculos!$E$311</f>
        <v>65516713.3919503</v>
      </c>
      <c r="G308" s="83" t="n">
        <f aca="false">Calculos!$F$311</f>
        <v>88514149.9808663</v>
      </c>
    </row>
    <row r="309" customFormat="false" ht="12.8" hidden="false" customHeight="false" outlineLevel="0" collapsed="false">
      <c r="A309" s="0" t="s">
        <v>324</v>
      </c>
      <c r="B309" s="83"/>
      <c r="C309" s="83" t="n">
        <f aca="false">MAX(0,Calculos!$C$307-Calculos!$C$308)</f>
        <v>0</v>
      </c>
      <c r="D309" s="83" t="n">
        <f aca="false">MAX(0,Calculos!$D$307-Calculos!$D$308)</f>
        <v>0</v>
      </c>
      <c r="E309" s="83" t="n">
        <f aca="false">MAX(0,Calculos!$E$307-Calculos!$E$308)</f>
        <v>0</v>
      </c>
      <c r="F309" s="83" t="n">
        <f aca="false">MAX(0,Calculos!$F$307-Calculos!$F$308)</f>
        <v>0</v>
      </c>
      <c r="G309" s="83" t="n">
        <f aca="false">MAX(0,Calculos!$G$307-Calculos!$G$308)</f>
        <v>0</v>
      </c>
    </row>
    <row r="310" customFormat="false" ht="12.8" hidden="false" customHeight="false" outlineLevel="0" collapsed="false">
      <c r="A310" s="0" t="s">
        <v>325</v>
      </c>
      <c r="B310" s="83"/>
      <c r="C310" s="83" t="n">
        <f aca="false">Calculos!$C$309*Inputs!$C$21</f>
        <v>0</v>
      </c>
      <c r="D310" s="83" t="n">
        <f aca="false">Calculos!$D$309*Inputs!$C$22</f>
        <v>0</v>
      </c>
      <c r="E310" s="83" t="n">
        <f aca="false">Calculos!$E$309*Inputs!$C$23</f>
        <v>0</v>
      </c>
      <c r="F310" s="83" t="n">
        <f aca="false">Calculos!$F$309*Inputs!$C$24</f>
        <v>0</v>
      </c>
      <c r="G310" s="83" t="n">
        <f aca="false">Calculos!$G$309*Inputs!$C$25</f>
        <v>0</v>
      </c>
    </row>
    <row r="311" customFormat="false" ht="12.8" hidden="false" customHeight="false" outlineLevel="0" collapsed="false">
      <c r="A311" s="0" t="s">
        <v>326</v>
      </c>
      <c r="B311" s="83"/>
      <c r="C311" s="83" t="n">
        <f aca="false">MAX(0,Calculos!$C$308-Calculos!$C$307)</f>
        <v>21276591.30805</v>
      </c>
      <c r="D311" s="83" t="n">
        <f aca="false">MAX(0,Calculos!$D$308-Calculos!$D$307)</f>
        <v>43109928.315044</v>
      </c>
      <c r="E311" s="83" t="n">
        <f aca="false">MAX(0,Calculos!$E$308-Calculos!$E$307)</f>
        <v>65516713.3919503</v>
      </c>
      <c r="F311" s="83" t="n">
        <f aca="false">MAX(0,Calculos!$F$308-Calculos!$F$307)</f>
        <v>88514149.9808663</v>
      </c>
      <c r="G311" s="83" t="n">
        <f aca="false">MAX(0,Calculos!$G$308-Calculos!$G$307)</f>
        <v>112119957.627152</v>
      </c>
    </row>
    <row r="312" customFormat="false" ht="12.8" hidden="false" customHeight="false" outlineLevel="0" collapsed="false">
      <c r="A312" s="0" t="s">
        <v>327</v>
      </c>
      <c r="B312" s="83"/>
      <c r="C312" s="83" t="n">
        <f aca="false">Calculos!$C$302*Inputs!$C$47/365+Calculos!$C$303*Inputs!$C$48/365-Calculos!$C$303*Inputs!$C$49/365</f>
        <v>7263576.65608767</v>
      </c>
      <c r="D312" s="83" t="n">
        <f aca="false">Calculos!$D$302*Inputs!$C$47/365+Calculos!$D$303*Inputs!$C$48/365-Calculos!$D$303*Inputs!$C$49/365</f>
        <v>7481483.9557703</v>
      </c>
      <c r="E312" s="83" t="n">
        <f aca="false">Calculos!$E$302*Inputs!$C$47/365+Calculos!$E$303*Inputs!$C$48/365-Calculos!$E$303*Inputs!$C$49/365</f>
        <v>7705928.47444341</v>
      </c>
      <c r="F312" s="83" t="n">
        <f aca="false">Calculos!$F$302*Inputs!$C$47/365+Calculos!$F$303*Inputs!$C$48/365-Calculos!$F$303*Inputs!$C$49/365</f>
        <v>7937106.32867671</v>
      </c>
      <c r="G312" s="83" t="n">
        <f aca="false">Calculos!$G$302*Inputs!$C$47/365+Calculos!$G$303*Inputs!$C$48/365-Calculos!$G$303*Inputs!$C$49/365</f>
        <v>8175219.51853702</v>
      </c>
    </row>
    <row r="313" customFormat="false" ht="12.8" hidden="false" customHeight="false" outlineLevel="0" collapsed="false">
      <c r="A313" s="0" t="s">
        <v>328</v>
      </c>
      <c r="B313" s="83"/>
      <c r="C313" s="83" t="n">
        <f aca="false">Calculos!$C$312-Calculos!$C$312</f>
        <v>0</v>
      </c>
      <c r="D313" s="83" t="n">
        <f aca="false">Calculos!$D$312-Calculos!$C$312</f>
        <v>217907.299682629</v>
      </c>
      <c r="E313" s="83" t="n">
        <f aca="false">Calculos!$E$312-Calculos!$D$312</f>
        <v>224444.51867311</v>
      </c>
      <c r="F313" s="83" t="n">
        <f aca="false">Calculos!$F$312-Calculos!$E$312</f>
        <v>231177.854233301</v>
      </c>
      <c r="G313" s="83" t="n">
        <f aca="false">Calculos!$G$312-Calculos!$F$312</f>
        <v>238113.189860302</v>
      </c>
    </row>
    <row r="314" customFormat="false" ht="12.8" hidden="false" customHeight="false" outlineLevel="0" collapsed="false">
      <c r="A314" s="0" t="s">
        <v>329</v>
      </c>
      <c r="B314" s="83"/>
      <c r="C314" s="83" t="n">
        <f aca="false">0</f>
        <v>0</v>
      </c>
      <c r="D314" s="83" t="n">
        <f aca="false">0</f>
        <v>0</v>
      </c>
      <c r="E314" s="83" t="n">
        <f aca="false">0</f>
        <v>0</v>
      </c>
      <c r="F314" s="83" t="n">
        <f aca="false">0</f>
        <v>0</v>
      </c>
      <c r="G314" s="83" t="n">
        <f aca="false">Calculos!$B$294-MAX(0,(Calculos!$B$294-MAX(0,Calculos!$B$291-Calculos!$B$293*5)))*Inputs!$C$25+Calculos!$G$312+Calculos!$B$295</f>
        <v>12413060.861787</v>
      </c>
    </row>
    <row r="315" customFormat="false" ht="12.8" hidden="false" customHeight="false" outlineLevel="0" collapsed="false">
      <c r="A315" s="0" t="s">
        <v>330</v>
      </c>
      <c r="B315" s="83" t="n">
        <f aca="false">-(Calculos!$B$292+Calculos!$B$295+Calculos!$C$312)</f>
        <v>-38467030.0885877</v>
      </c>
      <c r="C315" s="83" t="n">
        <f aca="false">Calculos!$C$305-Calculos!$C$310-Calculos!$C$313+Calculos!$C$314</f>
        <v>-18558189.9648</v>
      </c>
      <c r="D315" s="83" t="n">
        <f aca="false">Calculos!$D$305-Calculos!$D$310-Calculos!$D$313+Calculos!$D$314</f>
        <v>-19332842.9634266</v>
      </c>
      <c r="E315" s="83" t="n">
        <f aca="false">Calculos!$E$305-Calculos!$E$310-Calculos!$E$313+Calculos!$E$314</f>
        <v>-19912828.2523294</v>
      </c>
      <c r="F315" s="83" t="n">
        <f aca="false">Calculos!$F$305-Calculos!$F$310-Calculos!$F$313+Calculos!$F$314</f>
        <v>-20510213.0998993</v>
      </c>
      <c r="G315" s="83" t="n">
        <f aca="false">Calculos!$G$305-Calculos!$G$310-Calculos!$G$313+Calculos!$G$314</f>
        <v>-8712458.63110929</v>
      </c>
    </row>
    <row r="316" customFormat="false" ht="12.8" hidden="false" customHeight="false" outlineLevel="0" collapsed="false">
      <c r="A316" s="0" t="s">
        <v>331</v>
      </c>
      <c r="B316" s="83" t="n">
        <v>1</v>
      </c>
      <c r="C316" s="83" t="n">
        <f aca="false">1/(1+Inputs!$C$6)^1</f>
        <v>0.830151087497925</v>
      </c>
      <c r="D316" s="83" t="n">
        <f aca="false">1/(1+Inputs!$C$6)^2</f>
        <v>0.689150828073987</v>
      </c>
      <c r="E316" s="83" t="n">
        <f aca="false">1/(1+Inputs!$C$6)^3</f>
        <v>0.572099309375715</v>
      </c>
      <c r="F316" s="83" t="n">
        <f aca="false">1/(1+Inputs!$C$6)^4</f>
        <v>0.474928863835062</v>
      </c>
      <c r="G316" s="83" t="n">
        <f aca="false">1/(1+Inputs!$C$6)^5</f>
        <v>0.39426271279683</v>
      </c>
    </row>
    <row r="317" customFormat="false" ht="12.8" hidden="false" customHeight="false" outlineLevel="0" collapsed="false">
      <c r="A317" s="0" t="s">
        <v>332</v>
      </c>
      <c r="B317" s="83" t="n">
        <f aca="false">Calculos!$B$315</f>
        <v>-38467030.0885877</v>
      </c>
      <c r="C317" s="83" t="n">
        <f aca="false">Calculos!$C$315*Calculos!$C$316</f>
        <v>-15406101.5812718</v>
      </c>
      <c r="D317" s="83" t="n">
        <f aca="false">Calculos!$D$315*Calculos!$D$316</f>
        <v>-13323244.7372698</v>
      </c>
      <c r="E317" s="83" t="n">
        <f aca="false">Calculos!$E$315*Calculos!$E$316</f>
        <v>-11392115.2908749</v>
      </c>
      <c r="F317" s="83" t="n">
        <f aca="false">Calculos!$F$315*Calculos!$F$316</f>
        <v>-9740892.20455019</v>
      </c>
      <c r="G317" s="83" t="n">
        <f aca="false">Calculos!$G$315*Calculos!$G$316</f>
        <v>-3434997.57503131</v>
      </c>
    </row>
    <row r="318" customFormat="false" ht="12.8" hidden="false" customHeight="false" outlineLevel="0" collapsed="false">
      <c r="A318" s="0" t="s">
        <v>333</v>
      </c>
      <c r="B318" s="83" t="n">
        <f aca="false">Calculos!$B$315</f>
        <v>-38467030.0885877</v>
      </c>
      <c r="C318" s="83" t="n">
        <f aca="false">Calculos!$B$318+Calculos!$C$315</f>
        <v>-57025220.0533877</v>
      </c>
      <c r="D318" s="83" t="n">
        <f aca="false">Calculos!$C$318+Calculos!$D$315</f>
        <v>-76358063.0168143</v>
      </c>
      <c r="E318" s="83" t="n">
        <f aca="false">Calculos!$D$318+Calculos!$E$315</f>
        <v>-96270891.2691437</v>
      </c>
      <c r="F318" s="83" t="n">
        <f aca="false">Calculos!$E$318+Calculos!$F$315</f>
        <v>-116781104.369043</v>
      </c>
      <c r="G318" s="83" t="n">
        <f aca="false">Calculos!$F$318+Calculos!$G$315</f>
        <v>-125493563.000152</v>
      </c>
    </row>
    <row r="319" customFormat="false" ht="12.8" hidden="false" customHeight="false" outlineLevel="0" collapsed="false">
      <c r="A319" s="0" t="s">
        <v>334</v>
      </c>
      <c r="B319" s="83" t="n">
        <f aca="false">Calculos!$B$317</f>
        <v>-38467030.0885877</v>
      </c>
      <c r="C319" s="83" t="n">
        <f aca="false">Calculos!$B$319+Calculos!$C$317</f>
        <v>-53873131.6698595</v>
      </c>
      <c r="D319" s="83" t="n">
        <f aca="false">Calculos!$C$319+Calculos!$D$317</f>
        <v>-67196376.4071293</v>
      </c>
      <c r="E319" s="83" t="n">
        <f aca="false">Calculos!$D$319+Calculos!$E$317</f>
        <v>-78588491.6980042</v>
      </c>
      <c r="F319" s="83" t="n">
        <f aca="false">Calculos!$E$319+Calculos!$F$317</f>
        <v>-88329383.9025544</v>
      </c>
      <c r="G319" s="83" t="n">
        <f aca="false">Calculos!$F$319+Calculos!$G$317</f>
        <v>-91764381.4775857</v>
      </c>
    </row>
    <row r="321" customFormat="false" ht="12.8" hidden="false" customHeight="false" outlineLevel="0" collapsed="false">
      <c r="A321" s="0" t="s">
        <v>3</v>
      </c>
      <c r="B321" s="83" t="n">
        <f aca="false">-Calculos!$B$315</f>
        <v>38467030.0885877</v>
      </c>
    </row>
    <row r="322" customFormat="false" ht="12.8" hidden="false" customHeight="false" outlineLevel="0" collapsed="false">
      <c r="A322" s="0" t="s">
        <v>7</v>
      </c>
      <c r="B322" s="83" t="n">
        <f aca="false">SUM(Calculos!$B$317:$G$317)</f>
        <v>-91764381.4775857</v>
      </c>
    </row>
    <row r="323" customFormat="false" ht="12.8" hidden="false" customHeight="false" outlineLevel="0" collapsed="false">
      <c r="A323" s="0" t="s">
        <v>9</v>
      </c>
      <c r="B323" s="84" t="e">
        <f aca="false">IFERROR(IRR(Calculos!$B$315:$G$315),NA())</f>
        <v>#N/A</v>
      </c>
    </row>
    <row r="324" customFormat="false" ht="12.8" hidden="false" customHeight="false" outlineLevel="0" collapsed="false">
      <c r="A324" s="0" t="s">
        <v>10</v>
      </c>
      <c r="B324" s="0" t="e">
        <f aca="false">IFERROR(IF(Calculos!$C$319&gt;=0,0+(-Calculos!$B$319/Calculos!$C$317),IF(Calculos!$D$319&gt;=0,1+(-Calculos!$C$319/Calculos!$D$317),IF(Calculos!$E$319&gt;=0,2+(-Calculos!$D$319/Calculos!$E$317),IF(Calculos!$F$319&gt;=0,3+(-Calculos!$E$319/Calculos!$F$317),IF(Calculos!$G$319&gt;=0,4+(-Calculos!$F$319/Calculos!$G$317),NA()))))),NA())</f>
        <v>#N/A</v>
      </c>
    </row>
    <row r="325" customFormat="false" ht="12.8" hidden="false" customHeight="false" outlineLevel="0" collapsed="false">
      <c r="A325" s="0" t="s">
        <v>12</v>
      </c>
      <c r="B325" s="0" t="n">
        <f aca="false">(Calculos!$C$317+Calculos!$D$317+Calculos!$E$317+Calculos!$F$317+Calculos!$G$317)/(-Calculos!$B$315)</f>
        <v>-1.38553330647718</v>
      </c>
    </row>
    <row r="326" customFormat="false" ht="12.8" hidden="false" customHeight="false" outlineLevel="0" collapsed="false">
      <c r="A326" s="0" t="s">
        <v>5</v>
      </c>
      <c r="B326" s="83" t="n">
        <f aca="false">-MIN(Calculos!$B$318:$G$318)</f>
        <v>125493563.000152</v>
      </c>
    </row>
    <row r="327" customFormat="false" ht="12.8" hidden="false" customHeight="false" outlineLevel="0" collapsed="false">
      <c r="A327" s="0" t="s">
        <v>363</v>
      </c>
      <c r="B327" s="0" t="n">
        <f aca="false">IF((Calculos!$C$300-Calculos!$C$301)&gt;0,Calculos!$C$304/(Calculos!$C$300-Calculos!$C$301)/12,NA())</f>
        <v>2169.86108768423</v>
      </c>
    </row>
    <row r="328" customFormat="false" ht="12.8" hidden="false" customHeight="false" outlineLevel="0" collapsed="false">
      <c r="A328" s="0" t="s">
        <v>364</v>
      </c>
      <c r="B328" s="0" t="n">
        <f aca="false">IF(AND(Inputs!$C$51&gt;0,Inputs!$C$52&gt;0),Inputs!$C$51*Inputs!$C$52*12,NA())</f>
        <v>15840</v>
      </c>
    </row>
    <row r="329" customFormat="false" ht="12.8" hidden="false" customHeight="false" outlineLevel="0" collapsed="false">
      <c r="A329" s="0" t="s">
        <v>365</v>
      </c>
      <c r="B329" s="0" t="n">
        <f aca="false">IFERROR(Calculos!$G$298/Calculos!$B$328,NA())</f>
        <v>1</v>
      </c>
    </row>
    <row r="330" customFormat="false" ht="12.8" hidden="false" customHeight="false" outlineLevel="0" collapsed="false">
      <c r="A330" s="0" t="s">
        <v>366</v>
      </c>
      <c r="B330" s="0" t="n">
        <f aca="false">IFERROR(Calculos!$B$327*12/Calculos!$B$328,NA())</f>
        <v>1.64383415733653</v>
      </c>
    </row>
    <row r="331" customFormat="false" ht="12.8" hidden="false" customHeight="false" outlineLevel="0" collapsed="false">
      <c r="A331" s="0" t="s">
        <v>367</v>
      </c>
      <c r="B331" s="0" t="n">
        <f aca="false">IFERROR(Calculos!$B$322/Calculos!$B$326,NA())</f>
        <v>-0.731227795942604</v>
      </c>
    </row>
    <row r="334" customFormat="false" ht="12.8" hidden="false" customHeight="false" outlineLevel="0" collapsed="false">
      <c r="A334" s="81" t="s">
        <v>373</v>
      </c>
      <c r="B334" s="81"/>
      <c r="C334" s="81"/>
      <c r="D334" s="81"/>
      <c r="E334" s="81"/>
      <c r="F334" s="81"/>
      <c r="G334" s="81"/>
    </row>
    <row r="335" customFormat="false" ht="12.8" hidden="false" customHeight="false" outlineLevel="0" collapsed="false">
      <c r="A335" s="0" t="s">
        <v>316</v>
      </c>
      <c r="B335" s="85" t="n">
        <f aca="false">Inputs!$C$86</f>
        <v>1.2</v>
      </c>
    </row>
    <row r="336" customFormat="false" ht="12.8" hidden="false" customHeight="false" outlineLevel="0" collapsed="false">
      <c r="A336" s="0" t="s">
        <v>315</v>
      </c>
      <c r="B336" s="82" t="n">
        <f aca="false">Inputs!$C$87</f>
        <v>1</v>
      </c>
    </row>
    <row r="337" customFormat="false" ht="12.8" hidden="false" customHeight="false" outlineLevel="0" collapsed="false">
      <c r="A337" s="0" t="s">
        <v>348</v>
      </c>
      <c r="B337" s="0" t="n">
        <f aca="false">1</f>
        <v>1</v>
      </c>
    </row>
    <row r="338" customFormat="false" ht="12.8" hidden="false" customHeight="false" outlineLevel="0" collapsed="false">
      <c r="A338" s="0" t="s">
        <v>349</v>
      </c>
      <c r="B338" s="0" t="n">
        <f aca="false">1</f>
        <v>1</v>
      </c>
    </row>
    <row r="339" customFormat="false" ht="12.8" hidden="false" customHeight="false" outlineLevel="0" collapsed="false">
      <c r="A339" s="0" t="s">
        <v>350</v>
      </c>
      <c r="B339" s="0" t="n">
        <f aca="false">1</f>
        <v>1</v>
      </c>
    </row>
    <row r="341" customFormat="false" ht="12.8" hidden="false" customHeight="false" outlineLevel="0" collapsed="false">
      <c r="A341" s="0" t="s">
        <v>351</v>
      </c>
      <c r="B341" s="83" t="n">
        <f aca="false">IF(Inputs!$C$61&gt;0,Inputs!$C$61,Inputs!$C$53+Inputs!$C$54+Inputs!$C$55+Inputs!$C$56+Inputs!$C$57+Inputs!$C$58+Inputs!$C$59+Inputs!$C$60)</f>
        <v>10120237</v>
      </c>
    </row>
    <row r="342" customFormat="false" ht="12.8" hidden="false" customHeight="false" outlineLevel="0" collapsed="false">
      <c r="A342" s="0" t="s">
        <v>352</v>
      </c>
      <c r="B342" s="83" t="n">
        <f aca="false">Calculos!$B$341*Inputs!$C$62</f>
        <v>1518035.55</v>
      </c>
    </row>
    <row r="343" customFormat="false" ht="12.8" hidden="false" customHeight="false" outlineLevel="0" collapsed="false">
      <c r="A343" s="0" t="s">
        <v>353</v>
      </c>
      <c r="B343" s="83" t="n">
        <f aca="false">IF(Inputs!$C$39&gt;0,Inputs!$C$39,Inputs!$C$37*Inputs!$C$38)</f>
        <v>759720</v>
      </c>
    </row>
    <row r="344" customFormat="false" ht="12.8" hidden="false" customHeight="false" outlineLevel="0" collapsed="false">
      <c r="A344" s="0" t="s">
        <v>354</v>
      </c>
      <c r="B344" s="83" t="n">
        <f aca="false">((Inputs!$C$26*Inputs!$C$34+Inputs!$C$27*Inputs!$C$35+Inputs!$C$28*Inputs!$C$36+Inputs!$C$29)*(1+Inputs!$C$33)+Inputs!$C$30+Inputs!$C$31+Inputs!$C$32)</f>
        <v>2433.274</v>
      </c>
    </row>
    <row r="345" customFormat="false" ht="12.8" hidden="false" customHeight="false" outlineLevel="0" collapsed="false">
      <c r="A345" s="0" t="s">
        <v>355</v>
      </c>
      <c r="B345" s="83" t="n">
        <f aca="false">(Calculos!$B$343+IF(Inputs!$C$50&gt;0,Inputs!$C$50,Inputs!$C$40*Inputs!$C$41)+Inputs!$C$42+Inputs!$C$43+Inputs!$C$44+Inputs!$C$45+Inputs!$C$46)</f>
        <v>3833550</v>
      </c>
    </row>
    <row r="346" customFormat="false" ht="12.8" hidden="false" customHeight="false" outlineLevel="0" collapsed="false">
      <c r="A346" s="0" t="s">
        <v>356</v>
      </c>
      <c r="B346" s="83" t="n">
        <f aca="false">(Calculos!$B$341+Calculos!$B$342+Inputs!$C$63)*(1+Inputs!$C$66)*Calculos!$B$339</f>
        <v>27184013.4325</v>
      </c>
    </row>
    <row r="347" customFormat="false" ht="12.8" hidden="false" customHeight="false" outlineLevel="0" collapsed="false">
      <c r="A347" s="0" t="s">
        <v>357</v>
      </c>
      <c r="B347" s="83" t="n">
        <f aca="false">Calculos!$B$346+(Inputs!$C$64+Inputs!$C$65)*Calculos!$B$339</f>
        <v>29684013.4325</v>
      </c>
    </row>
    <row r="348" customFormat="false" ht="12.8" hidden="false" customHeight="false" outlineLevel="0" collapsed="false">
      <c r="A348" s="0" t="s">
        <v>358</v>
      </c>
      <c r="B348" s="83" t="n">
        <f aca="false">Calculos!$B$346/Inputs!$C$68</f>
        <v>2718401.34325</v>
      </c>
    </row>
    <row r="349" customFormat="false" ht="12.8" hidden="false" customHeight="false" outlineLevel="0" collapsed="false">
      <c r="A349" s="0" t="s">
        <v>359</v>
      </c>
      <c r="B349" s="83" t="n">
        <f aca="false">Calculos!$B$346*Inputs!$C$69</f>
        <v>2718401.34325</v>
      </c>
    </row>
    <row r="350" customFormat="false" ht="12.8" hidden="false" customHeight="false" outlineLevel="0" collapsed="false">
      <c r="A350" s="0" t="s">
        <v>360</v>
      </c>
      <c r="B350" s="83" t="n">
        <f aca="false">Calculos!$B$343*Inputs!$C$67</f>
        <v>1519440</v>
      </c>
    </row>
    <row r="352" customFormat="false" ht="18.45" hidden="false" customHeight="true" outlineLevel="0" collapsed="false">
      <c r="A352" s="45" t="s">
        <v>294</v>
      </c>
      <c r="B352" s="45" t="s">
        <v>309</v>
      </c>
      <c r="C352" s="45" t="s">
        <v>310</v>
      </c>
      <c r="D352" s="45" t="s">
        <v>311</v>
      </c>
      <c r="E352" s="45" t="s">
        <v>312</v>
      </c>
      <c r="F352" s="45" t="s">
        <v>313</v>
      </c>
      <c r="G352" s="45" t="s">
        <v>314</v>
      </c>
    </row>
    <row r="353" customFormat="false" ht="12.8" hidden="false" customHeight="false" outlineLevel="0" collapsed="false">
      <c r="A353" s="0" t="s">
        <v>315</v>
      </c>
      <c r="C353" s="0" t="n">
        <f aca="false">IF(AND(Inputs!$C$51&gt;0,Inputs!$C$52&gt;0),MIN((IF(Inputs!$C$11&gt;0,Inputs!$C$11*12,Inputs!$C$12))*Calculos!$B$336,Inputs!$C$51*Inputs!$C$52*12),(IF(Inputs!$C$11&gt;0,Inputs!$C$11*12,Inputs!$C$12))*Calculos!$B$336)</f>
        <v>15840</v>
      </c>
      <c r="D353" s="0" t="n">
        <f aca="false">IF(AND(Inputs!$C$51&gt;0,Inputs!$C$52&gt;0),MIN((IF(Inputs!$C$11&gt;0,Inputs!$C$11*12,Inputs!$C$12)*IF(Inputs!$C$17&gt;0,Inputs!$C$17,Inputs!$C$13/Inputs!$C$12))*Calculos!$B$336,Inputs!$C$51*Inputs!$C$52*12),(IF(Inputs!$C$11&gt;0,Inputs!$C$11*12,Inputs!$C$12)*IF(Inputs!$C$17&gt;0,Inputs!$C$17,Inputs!$C$13/Inputs!$C$12))*Calculos!$B$336)</f>
        <v>15840</v>
      </c>
      <c r="E353" s="0" t="n">
        <f aca="false">IF(AND(Inputs!$C$51&gt;0,Inputs!$C$52&gt;0),MIN((IF(Inputs!$C$11&gt;0,Inputs!$C$11*12,Inputs!$C$12)*IF(Inputs!$C$18&gt;0,Inputs!$C$18,Inputs!$C$14/Inputs!$C$12))*Calculos!$B$336,Inputs!$C$51*Inputs!$C$52*12),(IF(Inputs!$C$11&gt;0,Inputs!$C$11*12,Inputs!$C$12)*IF(Inputs!$C$18&gt;0,Inputs!$C$18,Inputs!$C$14/Inputs!$C$12))*Calculos!$B$336)</f>
        <v>15840</v>
      </c>
      <c r="F353" s="0" t="n">
        <f aca="false">IF(AND(Inputs!$C$51&gt;0,Inputs!$C$52&gt;0),MIN((IF(Inputs!$C$11&gt;0,Inputs!$C$11*12,Inputs!$C$12)*IF(Inputs!$C$19&gt;0,Inputs!$C$19,Inputs!$C$15/Inputs!$C$12))*Calculos!$B$336,Inputs!$C$51*Inputs!$C$52*12),(IF(Inputs!$C$11&gt;0,Inputs!$C$11*12,Inputs!$C$12)*IF(Inputs!$C$19&gt;0,Inputs!$C$19,Inputs!$C$15/Inputs!$C$12))*Calculos!$B$336)</f>
        <v>15840</v>
      </c>
      <c r="G353" s="0" t="n">
        <f aca="false">IF(AND(Inputs!$C$51&gt;0,Inputs!$C$52&gt;0),MIN((IF(Inputs!$C$11&gt;0,Inputs!$C$11*12,Inputs!$C$12)*IF(Inputs!$C$20&gt;0,Inputs!$C$20,Inputs!$C$16/Inputs!$C$12))*Calculos!$B$336,Inputs!$C$51*Inputs!$C$52*12),(IF(Inputs!$C$11&gt;0,Inputs!$C$11*12,Inputs!$C$12)*IF(Inputs!$C$20&gt;0,Inputs!$C$20,Inputs!$C$16/Inputs!$C$12))*Calculos!$B$336)</f>
        <v>15840</v>
      </c>
    </row>
    <row r="354" customFormat="false" ht="12.8" hidden="false" customHeight="false" outlineLevel="0" collapsed="false">
      <c r="A354" s="0" t="s">
        <v>361</v>
      </c>
      <c r="C354" s="0" t="n">
        <f aca="false">(1+Inputs!$C$7)^1</f>
        <v>1.03</v>
      </c>
      <c r="D354" s="0" t="n">
        <f aca="false">(1+Inputs!$C$7)^2</f>
        <v>1.0609</v>
      </c>
      <c r="E354" s="0" t="n">
        <f aca="false">(1+Inputs!$C$7)^3</f>
        <v>1.092727</v>
      </c>
      <c r="F354" s="0" t="n">
        <f aca="false">(1+Inputs!$C$7)^4</f>
        <v>1.12550881</v>
      </c>
      <c r="G354" s="0" t="n">
        <f aca="false">(1+Inputs!$C$7)^5</f>
        <v>1.1592740743</v>
      </c>
    </row>
    <row r="355" customFormat="false" ht="12.8" hidden="false" customHeight="false" outlineLevel="0" collapsed="false">
      <c r="A355" s="0" t="s">
        <v>316</v>
      </c>
      <c r="B355" s="83"/>
      <c r="C355" s="83" t="n">
        <f aca="false">Inputs!$C$10*Calculos!$B$335*Calculos!$C$354</f>
        <v>5191.2</v>
      </c>
      <c r="D355" s="83" t="n">
        <f aca="false">Inputs!$C$10*Calculos!$B$335*Calculos!$D$354</f>
        <v>5346.936</v>
      </c>
      <c r="E355" s="83" t="n">
        <f aca="false">Inputs!$C$10*Calculos!$B$335*Calculos!$E$354</f>
        <v>5507.34408</v>
      </c>
      <c r="F355" s="83" t="n">
        <f aca="false">Inputs!$C$10*Calculos!$B$335*Calculos!$F$354</f>
        <v>5672.5644024</v>
      </c>
      <c r="G355" s="83" t="n">
        <f aca="false">Inputs!$C$10*Calculos!$B$335*Calculos!$G$354</f>
        <v>5842.741334472</v>
      </c>
    </row>
    <row r="356" customFormat="false" ht="12.8" hidden="false" customHeight="false" outlineLevel="0" collapsed="false">
      <c r="A356" s="0" t="s">
        <v>362</v>
      </c>
      <c r="B356" s="83"/>
      <c r="C356" s="83" t="n">
        <f aca="false">Calculos!$B$344*Calculos!$B$337*Calculos!$C$354</f>
        <v>2506.27222</v>
      </c>
      <c r="D356" s="83" t="n">
        <f aca="false">Calculos!$B$344*Calculos!$B$337*Calculos!$D$354</f>
        <v>2581.4603866</v>
      </c>
      <c r="E356" s="83" t="n">
        <f aca="false">Calculos!$B$344*Calculos!$B$337*Calculos!$E$354</f>
        <v>2658.904198198</v>
      </c>
      <c r="F356" s="83" t="n">
        <f aca="false">Calculos!$B$344*Calculos!$B$337*Calculos!$F$354</f>
        <v>2738.67132414394</v>
      </c>
      <c r="G356" s="83" t="n">
        <f aca="false">Calculos!$B$344*Calculos!$B$337*Calculos!$G$354</f>
        <v>2820.83146386826</v>
      </c>
    </row>
    <row r="357" customFormat="false" ht="12.8" hidden="false" customHeight="false" outlineLevel="0" collapsed="false">
      <c r="A357" s="0" t="s">
        <v>317</v>
      </c>
      <c r="B357" s="83"/>
      <c r="C357" s="83" t="n">
        <f aca="false">Calculos!$C$353*Calculos!$C$355</f>
        <v>82228608</v>
      </c>
      <c r="D357" s="83" t="n">
        <f aca="false">Calculos!$D$353*Calculos!$D$355</f>
        <v>84695466.24</v>
      </c>
      <c r="E357" s="83" t="n">
        <f aca="false">Calculos!$E$353*Calculos!$E$355</f>
        <v>87236330.2272</v>
      </c>
      <c r="F357" s="83" t="n">
        <f aca="false">Calculos!$F$353*Calculos!$F$355</f>
        <v>89853420.134016</v>
      </c>
      <c r="G357" s="83" t="n">
        <f aca="false">Calculos!$G$353*Calculos!$G$355</f>
        <v>92549022.7380365</v>
      </c>
    </row>
    <row r="358" customFormat="false" ht="12.8" hidden="false" customHeight="false" outlineLevel="0" collapsed="false">
      <c r="A358" s="0" t="s">
        <v>318</v>
      </c>
      <c r="B358" s="83"/>
      <c r="C358" s="83" t="n">
        <f aca="false">Calculos!$C$353*Calculos!$C$356</f>
        <v>39699351.9648</v>
      </c>
      <c r="D358" s="83" t="n">
        <f aca="false">Calculos!$D$353*Calculos!$D$356</f>
        <v>40890332.523744</v>
      </c>
      <c r="E358" s="83" t="n">
        <f aca="false">Calculos!$E$353*Calculos!$E$356</f>
        <v>42117042.4994563</v>
      </c>
      <c r="F358" s="83" t="n">
        <f aca="false">Calculos!$F$353*Calculos!$F$356</f>
        <v>43380553.77444</v>
      </c>
      <c r="G358" s="83" t="n">
        <f aca="false">Calculos!$G$353*Calculos!$G$356</f>
        <v>44681970.3876732</v>
      </c>
    </row>
    <row r="359" customFormat="false" ht="12.8" hidden="false" customHeight="false" outlineLevel="0" collapsed="false">
      <c r="A359" s="0" t="s">
        <v>319</v>
      </c>
      <c r="B359" s="83"/>
      <c r="C359" s="83" t="n">
        <f aca="false">Calculos!$B$345*12*Calculos!$B$338*Calculos!$C$354</f>
        <v>47382678</v>
      </c>
      <c r="D359" s="83" t="n">
        <f aca="false">Calculos!$B$345*12*Calculos!$B$338*Calculos!$D$354</f>
        <v>48804158.34</v>
      </c>
      <c r="E359" s="83" t="n">
        <f aca="false">Calculos!$B$345*12*Calculos!$B$338*Calculos!$E$354</f>
        <v>50268283.0902</v>
      </c>
      <c r="F359" s="83" t="n">
        <f aca="false">Calculos!$B$345*12*Calculos!$B$338*Calculos!$F$354</f>
        <v>51776331.582906</v>
      </c>
      <c r="G359" s="83" t="n">
        <f aca="false">Calculos!$B$345*12*Calculos!$B$338*Calculos!$G$354</f>
        <v>53329621.5303932</v>
      </c>
    </row>
    <row r="360" customFormat="false" ht="12.8" hidden="false" customHeight="false" outlineLevel="0" collapsed="false">
      <c r="A360" s="0" t="s">
        <v>320</v>
      </c>
      <c r="B360" s="83"/>
      <c r="C360" s="83" t="n">
        <f aca="false">Calculos!$C$357-Calculos!$C$358-Calculos!$C$359</f>
        <v>-4853421.96480001</v>
      </c>
      <c r="D360" s="83" t="n">
        <f aca="false">Calculos!$D$357-Calculos!$D$358-Calculos!$D$359</f>
        <v>-4999024.623744</v>
      </c>
      <c r="E360" s="83" t="n">
        <f aca="false">Calculos!$E$357-Calculos!$E$358-Calculos!$E$359</f>
        <v>-5148995.36245632</v>
      </c>
      <c r="F360" s="83" t="n">
        <f aca="false">Calculos!$F$357-Calculos!$F$358-Calculos!$F$359</f>
        <v>-5303465.22333002</v>
      </c>
      <c r="G360" s="83" t="n">
        <f aca="false">Calculos!$G$357-Calculos!$G$358-Calculos!$G$359</f>
        <v>-5462569.1800299</v>
      </c>
    </row>
    <row r="361" customFormat="false" ht="12.8" hidden="false" customHeight="false" outlineLevel="0" collapsed="false">
      <c r="A361" s="0" t="s">
        <v>321</v>
      </c>
      <c r="B361" s="83"/>
      <c r="C361" s="83" t="n">
        <f aca="false">Calculos!$B$348</f>
        <v>2718401.34325</v>
      </c>
      <c r="D361" s="83" t="n">
        <f aca="false">Calculos!$B$348</f>
        <v>2718401.34325</v>
      </c>
      <c r="E361" s="83" t="n">
        <f aca="false">Calculos!$B$348</f>
        <v>2718401.34325</v>
      </c>
      <c r="F361" s="83" t="n">
        <f aca="false">Calculos!$B$348</f>
        <v>2718401.34325</v>
      </c>
      <c r="G361" s="83" t="n">
        <f aca="false">Calculos!$B$348</f>
        <v>2718401.34325</v>
      </c>
    </row>
    <row r="362" customFormat="false" ht="12.8" hidden="false" customHeight="false" outlineLevel="0" collapsed="false">
      <c r="A362" s="0" t="s">
        <v>322</v>
      </c>
      <c r="B362" s="83"/>
      <c r="C362" s="83" t="n">
        <f aca="false">Calculos!$C$360-Calculos!$C$361</f>
        <v>-7571823.30805001</v>
      </c>
      <c r="D362" s="83" t="n">
        <f aca="false">Calculos!$D$360-Calculos!$D$361</f>
        <v>-7717425.966994</v>
      </c>
      <c r="E362" s="83" t="n">
        <f aca="false">Calculos!$E$360-Calculos!$E$361</f>
        <v>-7867396.70570632</v>
      </c>
      <c r="F362" s="83" t="n">
        <f aca="false">Calculos!$F$360-Calculos!$F$361</f>
        <v>-8021866.56658002</v>
      </c>
      <c r="G362" s="83" t="n">
        <f aca="false">Calculos!$G$360-Calculos!$G$361</f>
        <v>-8180970.5232799</v>
      </c>
    </row>
    <row r="363" customFormat="false" ht="12.8" hidden="false" customHeight="false" outlineLevel="0" collapsed="false">
      <c r="A363" s="0" t="s">
        <v>323</v>
      </c>
      <c r="B363" s="83"/>
      <c r="C363" s="83" t="n">
        <f aca="false">0</f>
        <v>0</v>
      </c>
      <c r="D363" s="83" t="n">
        <f aca="false">Calculos!$C$366</f>
        <v>7571823.30805001</v>
      </c>
      <c r="E363" s="83" t="n">
        <f aca="false">Calculos!$D$366</f>
        <v>15289249.275044</v>
      </c>
      <c r="F363" s="83" t="n">
        <f aca="false">Calculos!$E$366</f>
        <v>23156645.9807503</v>
      </c>
      <c r="G363" s="83" t="n">
        <f aca="false">Calculos!$F$366</f>
        <v>31178512.5473304</v>
      </c>
    </row>
    <row r="364" customFormat="false" ht="12.8" hidden="false" customHeight="false" outlineLevel="0" collapsed="false">
      <c r="A364" s="0" t="s">
        <v>324</v>
      </c>
      <c r="B364" s="83"/>
      <c r="C364" s="83" t="n">
        <f aca="false">MAX(0,Calculos!$C$362-Calculos!$C$363)</f>
        <v>0</v>
      </c>
      <c r="D364" s="83" t="n">
        <f aca="false">MAX(0,Calculos!$D$362-Calculos!$D$363)</f>
        <v>0</v>
      </c>
      <c r="E364" s="83" t="n">
        <f aca="false">MAX(0,Calculos!$E$362-Calculos!$E$363)</f>
        <v>0</v>
      </c>
      <c r="F364" s="83" t="n">
        <f aca="false">MAX(0,Calculos!$F$362-Calculos!$F$363)</f>
        <v>0</v>
      </c>
      <c r="G364" s="83" t="n">
        <f aca="false">MAX(0,Calculos!$G$362-Calculos!$G$363)</f>
        <v>0</v>
      </c>
    </row>
    <row r="365" customFormat="false" ht="12.8" hidden="false" customHeight="false" outlineLevel="0" collapsed="false">
      <c r="A365" s="0" t="s">
        <v>325</v>
      </c>
      <c r="B365" s="83"/>
      <c r="C365" s="83" t="n">
        <f aca="false">Calculos!$C$364*Inputs!$C$21</f>
        <v>0</v>
      </c>
      <c r="D365" s="83" t="n">
        <f aca="false">Calculos!$D$364*Inputs!$C$22</f>
        <v>0</v>
      </c>
      <c r="E365" s="83" t="n">
        <f aca="false">Calculos!$E$364*Inputs!$C$23</f>
        <v>0</v>
      </c>
      <c r="F365" s="83" t="n">
        <f aca="false">Calculos!$F$364*Inputs!$C$24</f>
        <v>0</v>
      </c>
      <c r="G365" s="83" t="n">
        <f aca="false">Calculos!$G$364*Inputs!$C$25</f>
        <v>0</v>
      </c>
    </row>
    <row r="366" customFormat="false" ht="12.8" hidden="false" customHeight="false" outlineLevel="0" collapsed="false">
      <c r="A366" s="0" t="s">
        <v>326</v>
      </c>
      <c r="B366" s="83"/>
      <c r="C366" s="83" t="n">
        <f aca="false">MAX(0,Calculos!$C$363-Calculos!$C$362)</f>
        <v>7571823.30805001</v>
      </c>
      <c r="D366" s="83" t="n">
        <f aca="false">MAX(0,Calculos!$D$363-Calculos!$D$362)</f>
        <v>15289249.275044</v>
      </c>
      <c r="E366" s="83" t="n">
        <f aca="false">MAX(0,Calculos!$E$363-Calculos!$E$362)</f>
        <v>23156645.9807503</v>
      </c>
      <c r="F366" s="83" t="n">
        <f aca="false">MAX(0,Calculos!$F$363-Calculos!$F$362)</f>
        <v>31178512.5473304</v>
      </c>
      <c r="G366" s="83" t="n">
        <f aca="false">MAX(0,Calculos!$G$363-Calculos!$G$362)</f>
        <v>39359483.0706103</v>
      </c>
    </row>
    <row r="367" customFormat="false" ht="12.8" hidden="false" customHeight="false" outlineLevel="0" collapsed="false">
      <c r="A367" s="0" t="s">
        <v>327</v>
      </c>
      <c r="B367" s="83"/>
      <c r="C367" s="83" t="n">
        <f aca="false">Calculos!$C$357*Inputs!$C$47/365+Calculos!$C$358*Inputs!$C$48/365-Calculos!$C$358*Inputs!$C$49/365</f>
        <v>8389995.94375891</v>
      </c>
      <c r="D367" s="83" t="n">
        <f aca="false">Calculos!$D$357*Inputs!$C$47/365+Calculos!$D$358*Inputs!$C$48/365-Calculos!$D$358*Inputs!$C$49/365</f>
        <v>8641695.82207167</v>
      </c>
      <c r="E367" s="83" t="n">
        <f aca="false">Calculos!$E$357*Inputs!$C$47/365+Calculos!$E$358*Inputs!$C$48/365-Calculos!$E$358*Inputs!$C$49/365</f>
        <v>8900946.69673382</v>
      </c>
      <c r="F367" s="83" t="n">
        <f aca="false">Calculos!$F$357*Inputs!$C$47/365+Calculos!$F$358*Inputs!$C$48/365-Calculos!$F$358*Inputs!$C$49/365</f>
        <v>9167975.09763584</v>
      </c>
      <c r="G367" s="83" t="n">
        <f aca="false">Calculos!$G$357*Inputs!$C$47/365+Calculos!$G$358*Inputs!$C$48/365-Calculos!$G$358*Inputs!$C$49/365</f>
        <v>9443014.35056491</v>
      </c>
    </row>
    <row r="368" customFormat="false" ht="12.8" hidden="false" customHeight="false" outlineLevel="0" collapsed="false">
      <c r="A368" s="0" t="s">
        <v>328</v>
      </c>
      <c r="B368" s="83"/>
      <c r="C368" s="83" t="n">
        <f aca="false">Calculos!$C$367-Calculos!$C$367</f>
        <v>0</v>
      </c>
      <c r="D368" s="83" t="n">
        <f aca="false">Calculos!$D$367-Calculos!$C$367</f>
        <v>251699.878312767</v>
      </c>
      <c r="E368" s="83" t="n">
        <f aca="false">Calculos!$E$367-Calculos!$D$367</f>
        <v>259250.87466215</v>
      </c>
      <c r="F368" s="83" t="n">
        <f aca="false">Calculos!$F$367-Calculos!$E$367</f>
        <v>267028.400902016</v>
      </c>
      <c r="G368" s="83" t="n">
        <f aca="false">Calculos!$G$367-Calculos!$F$367</f>
        <v>275039.252929077</v>
      </c>
    </row>
    <row r="369" customFormat="false" ht="12.8" hidden="false" customHeight="false" outlineLevel="0" collapsed="false">
      <c r="A369" s="0" t="s">
        <v>329</v>
      </c>
      <c r="B369" s="83"/>
      <c r="C369" s="83" t="n">
        <f aca="false">0</f>
        <v>0</v>
      </c>
      <c r="D369" s="83" t="n">
        <f aca="false">0</f>
        <v>0</v>
      </c>
      <c r="E369" s="83" t="n">
        <f aca="false">0</f>
        <v>0</v>
      </c>
      <c r="F369" s="83" t="n">
        <f aca="false">0</f>
        <v>0</v>
      </c>
      <c r="G369" s="83" t="n">
        <f aca="false">Calculos!$B$349-MAX(0,(Calculos!$B$349-MAX(0,Calculos!$B$346-Calculos!$B$348*5)))*Inputs!$C$25+Calculos!$G$367+Calculos!$B$350</f>
        <v>13680855.6938149</v>
      </c>
    </row>
    <row r="370" customFormat="false" ht="12.8" hidden="false" customHeight="false" outlineLevel="0" collapsed="false">
      <c r="A370" s="0" t="s">
        <v>330</v>
      </c>
      <c r="B370" s="83" t="n">
        <f aca="false">-(Calculos!$B$347+Calculos!$B$350+Calculos!$C$367)</f>
        <v>-39593449.3762589</v>
      </c>
      <c r="C370" s="83" t="n">
        <f aca="false">Calculos!$C$360-Calculos!$C$365-Calculos!$C$368+Calculos!$C$369</f>
        <v>-4853421.96480001</v>
      </c>
      <c r="D370" s="83" t="n">
        <f aca="false">Calculos!$D$360-Calculos!$D$365-Calculos!$D$368+Calculos!$D$369</f>
        <v>-5250724.50205677</v>
      </c>
      <c r="E370" s="83" t="n">
        <f aca="false">Calculos!$E$360-Calculos!$E$365-Calculos!$E$368+Calculos!$E$369</f>
        <v>-5408246.23711847</v>
      </c>
      <c r="F370" s="83" t="n">
        <f aca="false">Calculos!$F$360-Calculos!$F$365-Calculos!$F$368+Calculos!$F$369</f>
        <v>-5570493.62423204</v>
      </c>
      <c r="G370" s="83" t="n">
        <f aca="false">Calculos!$G$360-Calculos!$G$365-Calculos!$G$368+Calculos!$G$369</f>
        <v>7943247.26085594</v>
      </c>
    </row>
    <row r="371" customFormat="false" ht="12.8" hidden="false" customHeight="false" outlineLevel="0" collapsed="false">
      <c r="A371" s="0" t="s">
        <v>331</v>
      </c>
      <c r="B371" s="83" t="n">
        <v>1</v>
      </c>
      <c r="C371" s="83" t="n">
        <f aca="false">1/(1+Inputs!$C$6)^1</f>
        <v>0.830151087497925</v>
      </c>
      <c r="D371" s="83" t="n">
        <f aca="false">1/(1+Inputs!$C$6)^2</f>
        <v>0.689150828073987</v>
      </c>
      <c r="E371" s="83" t="n">
        <f aca="false">1/(1+Inputs!$C$6)^3</f>
        <v>0.572099309375715</v>
      </c>
      <c r="F371" s="83" t="n">
        <f aca="false">1/(1+Inputs!$C$6)^4</f>
        <v>0.474928863835062</v>
      </c>
      <c r="G371" s="83" t="n">
        <f aca="false">1/(1+Inputs!$C$6)^5</f>
        <v>0.39426271279683</v>
      </c>
    </row>
    <row r="372" customFormat="false" ht="12.8" hidden="false" customHeight="false" outlineLevel="0" collapsed="false">
      <c r="A372" s="0" t="s">
        <v>332</v>
      </c>
      <c r="B372" s="83" t="n">
        <f aca="false">Calculos!$B$370</f>
        <v>-39593449.3762589</v>
      </c>
      <c r="C372" s="83" t="n">
        <f aca="false">Calculos!$C$370*Calculos!$C$371</f>
        <v>-4029073.52216504</v>
      </c>
      <c r="D372" s="83" t="n">
        <f aca="false">Calculos!$D$370*Calculos!$D$371</f>
        <v>-3618541.1385808</v>
      </c>
      <c r="E372" s="83" t="n">
        <f aca="false">Calculos!$E$370*Calculos!$E$371</f>
        <v>-3094053.93718929</v>
      </c>
      <c r="F372" s="83" t="n">
        <f aca="false">Calculos!$F$370*Calculos!$F$371</f>
        <v>-2645588.20795698</v>
      </c>
      <c r="G372" s="83" t="n">
        <f aca="false">Calculos!$G$370*Calculos!$G$371</f>
        <v>3131726.21348105</v>
      </c>
    </row>
    <row r="373" customFormat="false" ht="12.8" hidden="false" customHeight="false" outlineLevel="0" collapsed="false">
      <c r="A373" s="0" t="s">
        <v>333</v>
      </c>
      <c r="B373" s="83" t="n">
        <f aca="false">Calculos!$B$370</f>
        <v>-39593449.3762589</v>
      </c>
      <c r="C373" s="83" t="n">
        <f aca="false">Calculos!$B$373+Calculos!$C$370</f>
        <v>-44446871.3410589</v>
      </c>
      <c r="D373" s="83" t="n">
        <f aca="false">Calculos!$C$373+Calculos!$D$370</f>
        <v>-49697595.8431157</v>
      </c>
      <c r="E373" s="83" t="n">
        <f aca="false">Calculos!$D$373+Calculos!$E$370</f>
        <v>-55105842.0802342</v>
      </c>
      <c r="F373" s="83" t="n">
        <f aca="false">Calculos!$E$373+Calculos!$F$370</f>
        <v>-60676335.7044662</v>
      </c>
      <c r="G373" s="83" t="n">
        <f aca="false">Calculos!$F$373+Calculos!$G$370</f>
        <v>-52733088.4436103</v>
      </c>
    </row>
    <row r="374" customFormat="false" ht="12.8" hidden="false" customHeight="false" outlineLevel="0" collapsed="false">
      <c r="A374" s="0" t="s">
        <v>334</v>
      </c>
      <c r="B374" s="83" t="n">
        <f aca="false">Calculos!$B$372</f>
        <v>-39593449.3762589</v>
      </c>
      <c r="C374" s="83" t="n">
        <f aca="false">Calculos!$B$374+Calculos!$C$372</f>
        <v>-43622522.8984239</v>
      </c>
      <c r="D374" s="83" t="n">
        <f aca="false">Calculos!$C$374+Calculos!$D$372</f>
        <v>-47241064.0370047</v>
      </c>
      <c r="E374" s="83" t="n">
        <f aca="false">Calculos!$D$374+Calculos!$E$372</f>
        <v>-50335117.974194</v>
      </c>
      <c r="F374" s="83" t="n">
        <f aca="false">Calculos!$E$374+Calculos!$F$372</f>
        <v>-52980706.182151</v>
      </c>
      <c r="G374" s="83" t="n">
        <f aca="false">Calculos!$F$374+Calculos!$G$372</f>
        <v>-49848979.9686699</v>
      </c>
    </row>
    <row r="376" customFormat="false" ht="12.8" hidden="false" customHeight="false" outlineLevel="0" collapsed="false">
      <c r="A376" s="0" t="s">
        <v>3</v>
      </c>
      <c r="B376" s="83" t="n">
        <f aca="false">-Calculos!$B$370</f>
        <v>39593449.3762589</v>
      </c>
    </row>
    <row r="377" customFormat="false" ht="12.8" hidden="false" customHeight="false" outlineLevel="0" collapsed="false">
      <c r="A377" s="0" t="s">
        <v>7</v>
      </c>
      <c r="B377" s="83" t="n">
        <f aca="false">SUM(Calculos!$B$372:$G$372)</f>
        <v>-49848979.96867</v>
      </c>
    </row>
    <row r="378" customFormat="false" ht="12.8" hidden="false" customHeight="false" outlineLevel="0" collapsed="false">
      <c r="A378" s="0" t="s">
        <v>9</v>
      </c>
      <c r="B378" s="84" t="e">
        <f aca="false">IFERROR(IRR(Calculos!$B$370:$G$370),NA())</f>
        <v>#N/A</v>
      </c>
    </row>
    <row r="379" customFormat="false" ht="12.8" hidden="false" customHeight="false" outlineLevel="0" collapsed="false">
      <c r="A379" s="0" t="s">
        <v>10</v>
      </c>
      <c r="B379" s="0" t="e">
        <f aca="false">IFERROR(IF(Calculos!$C$374&gt;=0,0+(-Calculos!$B$374/Calculos!$C$372),IF(Calculos!$D$374&gt;=0,1+(-Calculos!$C$374/Calculos!$D$372),IF(Calculos!$E$374&gt;=0,2+(-Calculos!$D$374/Calculos!$E$372),IF(Calculos!$F$374&gt;=0,3+(-Calculos!$E$374/Calculos!$F$372),IF(Calculos!$G$374&gt;=0,4+(-Calculos!$F$374/Calculos!$G$372),NA()))))),NA())</f>
        <v>#N/A</v>
      </c>
    </row>
    <row r="380" customFormat="false" ht="12.8" hidden="false" customHeight="false" outlineLevel="0" collapsed="false">
      <c r="A380" s="0" t="s">
        <v>12</v>
      </c>
      <c r="B380" s="0" t="n">
        <f aca="false">(Calculos!$C$372+Calculos!$D$372+Calculos!$E$372+Calculos!$F$372+Calculos!$G$372)/(-Calculos!$B$370)</f>
        <v>-0.259020892444913</v>
      </c>
    </row>
    <row r="381" customFormat="false" ht="12.8" hidden="false" customHeight="false" outlineLevel="0" collapsed="false">
      <c r="A381" s="0" t="s">
        <v>5</v>
      </c>
      <c r="B381" s="83" t="n">
        <f aca="false">-MIN(Calculos!$B$373:$G$373)</f>
        <v>60676335.7044662</v>
      </c>
    </row>
    <row r="382" customFormat="false" ht="12.8" hidden="false" customHeight="false" outlineLevel="0" collapsed="false">
      <c r="A382" s="0" t="s">
        <v>363</v>
      </c>
      <c r="B382" s="0" t="n">
        <f aca="false">IF((Calculos!$C$355-Calculos!$C$356)&gt;0,Calculos!$C$359/(Calculos!$C$355-Calculos!$C$356)/12,NA())</f>
        <v>1470.63788062113</v>
      </c>
    </row>
    <row r="383" customFormat="false" ht="12.8" hidden="false" customHeight="false" outlineLevel="0" collapsed="false">
      <c r="A383" s="0" t="s">
        <v>364</v>
      </c>
      <c r="B383" s="0" t="n">
        <f aca="false">IF(AND(Inputs!$C$51&gt;0,Inputs!$C$52&gt;0),Inputs!$C$51*Inputs!$C$52*12,NA())</f>
        <v>15840</v>
      </c>
    </row>
    <row r="384" customFormat="false" ht="12.8" hidden="false" customHeight="false" outlineLevel="0" collapsed="false">
      <c r="A384" s="0" t="s">
        <v>365</v>
      </c>
      <c r="B384" s="0" t="n">
        <f aca="false">IFERROR(Calculos!$G$353/Calculos!$B$383,NA())</f>
        <v>1</v>
      </c>
    </row>
    <row r="385" customFormat="false" ht="12.8" hidden="false" customHeight="false" outlineLevel="0" collapsed="false">
      <c r="A385" s="0" t="s">
        <v>366</v>
      </c>
      <c r="B385" s="0" t="n">
        <f aca="false">IFERROR(Calculos!$B$382*12/Calculos!$B$383,NA())</f>
        <v>1.11411960653116</v>
      </c>
    </row>
    <row r="386" customFormat="false" ht="12.8" hidden="false" customHeight="false" outlineLevel="0" collapsed="false">
      <c r="A386" s="0" t="s">
        <v>367</v>
      </c>
      <c r="B386" s="0" t="n">
        <f aca="false">IFERROR(Calculos!$B$377/Calculos!$B$381,NA())</f>
        <v>-0.821555543687862</v>
      </c>
    </row>
    <row r="389" customFormat="false" ht="12.8" hidden="false" customHeight="false" outlineLevel="0" collapsed="false">
      <c r="A389" s="81" t="s">
        <v>374</v>
      </c>
      <c r="B389" s="81"/>
      <c r="C389" s="81"/>
      <c r="D389" s="81"/>
      <c r="E389" s="81"/>
      <c r="F389" s="81"/>
      <c r="G389" s="81"/>
    </row>
    <row r="390" customFormat="false" ht="12.8" hidden="false" customHeight="false" outlineLevel="0" collapsed="false">
      <c r="A390" s="0" t="s">
        <v>316</v>
      </c>
      <c r="B390" s="85" t="n">
        <f aca="false">Inputs!$C$85</f>
        <v>0.72</v>
      </c>
    </row>
    <row r="391" customFormat="false" ht="12.8" hidden="false" customHeight="false" outlineLevel="0" collapsed="false">
      <c r="A391" s="0" t="s">
        <v>315</v>
      </c>
      <c r="B391" s="0" t="n">
        <f aca="false">1</f>
        <v>1</v>
      </c>
    </row>
    <row r="392" customFormat="false" ht="12.8" hidden="false" customHeight="false" outlineLevel="0" collapsed="false">
      <c r="A392" s="0" t="s">
        <v>348</v>
      </c>
      <c r="B392" s="0" t="n">
        <f aca="false">1</f>
        <v>1</v>
      </c>
    </row>
    <row r="393" customFormat="false" ht="12.8" hidden="false" customHeight="false" outlineLevel="0" collapsed="false">
      <c r="A393" s="0" t="s">
        <v>349</v>
      </c>
      <c r="B393" s="0" t="n">
        <f aca="false">1</f>
        <v>1</v>
      </c>
    </row>
    <row r="394" customFormat="false" ht="12.8" hidden="false" customHeight="false" outlineLevel="0" collapsed="false">
      <c r="A394" s="0" t="s">
        <v>350</v>
      </c>
      <c r="B394" s="0" t="n">
        <f aca="false">1</f>
        <v>1</v>
      </c>
    </row>
    <row r="396" customFormat="false" ht="12.8" hidden="false" customHeight="false" outlineLevel="0" collapsed="false">
      <c r="A396" s="0" t="s">
        <v>351</v>
      </c>
      <c r="B396" s="83" t="n">
        <f aca="false">IF(Inputs!$C$61&gt;0,Inputs!$C$61,Inputs!$C$53+Inputs!$C$54+Inputs!$C$55+Inputs!$C$56+Inputs!$C$57+Inputs!$C$58+Inputs!$C$59+Inputs!$C$60)</f>
        <v>10120237</v>
      </c>
    </row>
    <row r="397" customFormat="false" ht="12.8" hidden="false" customHeight="false" outlineLevel="0" collapsed="false">
      <c r="A397" s="0" t="s">
        <v>352</v>
      </c>
      <c r="B397" s="83" t="n">
        <f aca="false">Calculos!$B$396*Inputs!$C$62</f>
        <v>1518035.55</v>
      </c>
    </row>
    <row r="398" customFormat="false" ht="12.8" hidden="false" customHeight="false" outlineLevel="0" collapsed="false">
      <c r="A398" s="0" t="s">
        <v>353</v>
      </c>
      <c r="B398" s="83" t="n">
        <f aca="false">IF(Inputs!$C$39&gt;0,Inputs!$C$39,Inputs!$C$37*Inputs!$C$38)</f>
        <v>759720</v>
      </c>
    </row>
    <row r="399" customFormat="false" ht="12.8" hidden="false" customHeight="false" outlineLevel="0" collapsed="false">
      <c r="A399" s="0" t="s">
        <v>354</v>
      </c>
      <c r="B399" s="83" t="n">
        <f aca="false">((Inputs!$C$26*Inputs!$C$34+Inputs!$C$27*Inputs!$C$35+Inputs!$C$28*Inputs!$C$36+Inputs!$C$29)*(1+Inputs!$C$33)+Inputs!$C$30+Inputs!$C$31+Inputs!$C$32)</f>
        <v>2433.274</v>
      </c>
    </row>
    <row r="400" customFormat="false" ht="12.8" hidden="false" customHeight="false" outlineLevel="0" collapsed="false">
      <c r="A400" s="0" t="s">
        <v>355</v>
      </c>
      <c r="B400" s="83" t="n">
        <f aca="false">(Calculos!$B$398+IF(Inputs!$C$50&gt;0,Inputs!$C$50,Inputs!$C$40*Inputs!$C$41)+Inputs!$C$42+Inputs!$C$43+Inputs!$C$44+Inputs!$C$45+Inputs!$C$46)</f>
        <v>3833550</v>
      </c>
    </row>
    <row r="401" customFormat="false" ht="12.8" hidden="false" customHeight="false" outlineLevel="0" collapsed="false">
      <c r="A401" s="0" t="s">
        <v>356</v>
      </c>
      <c r="B401" s="83" t="n">
        <f aca="false">(Calculos!$B$396+Calculos!$B$397+Inputs!$C$63)*(1+Inputs!$C$66)*Calculos!$B$394</f>
        <v>27184013.4325</v>
      </c>
    </row>
    <row r="402" customFormat="false" ht="12.8" hidden="false" customHeight="false" outlineLevel="0" collapsed="false">
      <c r="A402" s="0" t="s">
        <v>357</v>
      </c>
      <c r="B402" s="83" t="n">
        <f aca="false">Calculos!$B$401+(Inputs!$C$64+Inputs!$C$65)*Calculos!$B$394</f>
        <v>29684013.4325</v>
      </c>
    </row>
    <row r="403" customFormat="false" ht="12.8" hidden="false" customHeight="false" outlineLevel="0" collapsed="false">
      <c r="A403" s="0" t="s">
        <v>358</v>
      </c>
      <c r="B403" s="83" t="n">
        <f aca="false">Calculos!$B$401/Inputs!$C$68</f>
        <v>2718401.34325</v>
      </c>
    </row>
    <row r="404" customFormat="false" ht="12.8" hidden="false" customHeight="false" outlineLevel="0" collapsed="false">
      <c r="A404" s="0" t="s">
        <v>359</v>
      </c>
      <c r="B404" s="83" t="n">
        <f aca="false">Calculos!$B$401*Inputs!$C$69</f>
        <v>2718401.34325</v>
      </c>
    </row>
    <row r="405" customFormat="false" ht="12.8" hidden="false" customHeight="false" outlineLevel="0" collapsed="false">
      <c r="A405" s="0" t="s">
        <v>360</v>
      </c>
      <c r="B405" s="83" t="n">
        <f aca="false">Calculos!$B$398*Inputs!$C$67</f>
        <v>1519440</v>
      </c>
    </row>
    <row r="407" customFormat="false" ht="18.45" hidden="false" customHeight="true" outlineLevel="0" collapsed="false">
      <c r="A407" s="45" t="s">
        <v>294</v>
      </c>
      <c r="B407" s="45" t="s">
        <v>309</v>
      </c>
      <c r="C407" s="45" t="s">
        <v>310</v>
      </c>
      <c r="D407" s="45" t="s">
        <v>311</v>
      </c>
      <c r="E407" s="45" t="s">
        <v>312</v>
      </c>
      <c r="F407" s="45" t="s">
        <v>313</v>
      </c>
      <c r="G407" s="45" t="s">
        <v>314</v>
      </c>
    </row>
    <row r="408" customFormat="false" ht="12.8" hidden="false" customHeight="false" outlineLevel="0" collapsed="false">
      <c r="A408" s="0" t="s">
        <v>315</v>
      </c>
      <c r="C408" s="0" t="n">
        <f aca="false">IF(AND(Inputs!$C$51&gt;0,Inputs!$C$52&gt;0),MIN((IF(Inputs!$C$11&gt;0,Inputs!$C$11*12,Inputs!$C$12))*Calculos!$B$391,Inputs!$C$51*Inputs!$C$52*12),(IF(Inputs!$C$11&gt;0,Inputs!$C$11*12,Inputs!$C$12))*Calculos!$B$391)</f>
        <v>15840</v>
      </c>
      <c r="D408" s="0" t="n">
        <f aca="false">IF(AND(Inputs!$C$51&gt;0,Inputs!$C$52&gt;0),MIN((IF(Inputs!$C$11&gt;0,Inputs!$C$11*12,Inputs!$C$12)*IF(Inputs!$C$17&gt;0,Inputs!$C$17,Inputs!$C$13/Inputs!$C$12))*Calculos!$B$391,Inputs!$C$51*Inputs!$C$52*12),(IF(Inputs!$C$11&gt;0,Inputs!$C$11*12,Inputs!$C$12)*IF(Inputs!$C$17&gt;0,Inputs!$C$17,Inputs!$C$13/Inputs!$C$12))*Calculos!$B$391)</f>
        <v>15840</v>
      </c>
      <c r="E408" s="0" t="n">
        <f aca="false">IF(AND(Inputs!$C$51&gt;0,Inputs!$C$52&gt;0),MIN((IF(Inputs!$C$11&gt;0,Inputs!$C$11*12,Inputs!$C$12)*IF(Inputs!$C$18&gt;0,Inputs!$C$18,Inputs!$C$14/Inputs!$C$12))*Calculos!$B$391,Inputs!$C$51*Inputs!$C$52*12),(IF(Inputs!$C$11&gt;0,Inputs!$C$11*12,Inputs!$C$12)*IF(Inputs!$C$18&gt;0,Inputs!$C$18,Inputs!$C$14/Inputs!$C$12))*Calculos!$B$391)</f>
        <v>15840</v>
      </c>
      <c r="F408" s="0" t="n">
        <f aca="false">IF(AND(Inputs!$C$51&gt;0,Inputs!$C$52&gt;0),MIN((IF(Inputs!$C$11&gt;0,Inputs!$C$11*12,Inputs!$C$12)*IF(Inputs!$C$19&gt;0,Inputs!$C$19,Inputs!$C$15/Inputs!$C$12))*Calculos!$B$391,Inputs!$C$51*Inputs!$C$52*12),(IF(Inputs!$C$11&gt;0,Inputs!$C$11*12,Inputs!$C$12)*IF(Inputs!$C$19&gt;0,Inputs!$C$19,Inputs!$C$15/Inputs!$C$12))*Calculos!$B$391)</f>
        <v>15840</v>
      </c>
      <c r="G408" s="0" t="n">
        <f aca="false">IF(AND(Inputs!$C$51&gt;0,Inputs!$C$52&gt;0),MIN((IF(Inputs!$C$11&gt;0,Inputs!$C$11*12,Inputs!$C$12)*IF(Inputs!$C$20&gt;0,Inputs!$C$20,Inputs!$C$16/Inputs!$C$12))*Calculos!$B$391,Inputs!$C$51*Inputs!$C$52*12),(IF(Inputs!$C$11&gt;0,Inputs!$C$11*12,Inputs!$C$12)*IF(Inputs!$C$20&gt;0,Inputs!$C$20,Inputs!$C$16/Inputs!$C$12))*Calculos!$B$391)</f>
        <v>15840</v>
      </c>
    </row>
    <row r="409" customFormat="false" ht="12.8" hidden="false" customHeight="false" outlineLevel="0" collapsed="false">
      <c r="A409" s="0" t="s">
        <v>361</v>
      </c>
      <c r="C409" s="0" t="n">
        <f aca="false">(1+Inputs!$C$7)^1</f>
        <v>1.03</v>
      </c>
      <c r="D409" s="0" t="n">
        <f aca="false">(1+Inputs!$C$7)^2</f>
        <v>1.0609</v>
      </c>
      <c r="E409" s="0" t="n">
        <f aca="false">(1+Inputs!$C$7)^3</f>
        <v>1.092727</v>
      </c>
      <c r="F409" s="0" t="n">
        <f aca="false">(1+Inputs!$C$7)^4</f>
        <v>1.12550881</v>
      </c>
      <c r="G409" s="0" t="n">
        <f aca="false">(1+Inputs!$C$7)^5</f>
        <v>1.1592740743</v>
      </c>
    </row>
    <row r="410" customFormat="false" ht="12.8" hidden="false" customHeight="false" outlineLevel="0" collapsed="false">
      <c r="A410" s="0" t="s">
        <v>316</v>
      </c>
      <c r="B410" s="83"/>
      <c r="C410" s="83" t="n">
        <f aca="false">Inputs!$C$10*Calculos!$B$390*Calculos!$C$409</f>
        <v>3114.72</v>
      </c>
      <c r="D410" s="83" t="n">
        <f aca="false">Inputs!$C$10*Calculos!$B$390*Calculos!$D$409</f>
        <v>3208.1616</v>
      </c>
      <c r="E410" s="83" t="n">
        <f aca="false">Inputs!$C$10*Calculos!$B$390*Calculos!$E$409</f>
        <v>3304.406448</v>
      </c>
      <c r="F410" s="83" t="n">
        <f aca="false">Inputs!$C$10*Calculos!$B$390*Calculos!$F$409</f>
        <v>3403.53864144</v>
      </c>
      <c r="G410" s="83" t="n">
        <f aca="false">Inputs!$C$10*Calculos!$B$390*Calculos!$G$409</f>
        <v>3505.6448006832</v>
      </c>
    </row>
    <row r="411" customFormat="false" ht="12.8" hidden="false" customHeight="false" outlineLevel="0" collapsed="false">
      <c r="A411" s="0" t="s">
        <v>362</v>
      </c>
      <c r="B411" s="83"/>
      <c r="C411" s="83" t="n">
        <f aca="false">Calculos!$B$399*Calculos!$B$392*Calculos!$C$409</f>
        <v>2506.27222</v>
      </c>
      <c r="D411" s="83" t="n">
        <f aca="false">Calculos!$B$399*Calculos!$B$392*Calculos!$D$409</f>
        <v>2581.4603866</v>
      </c>
      <c r="E411" s="83" t="n">
        <f aca="false">Calculos!$B$399*Calculos!$B$392*Calculos!$E$409</f>
        <v>2658.904198198</v>
      </c>
      <c r="F411" s="83" t="n">
        <f aca="false">Calculos!$B$399*Calculos!$B$392*Calculos!$F$409</f>
        <v>2738.67132414394</v>
      </c>
      <c r="G411" s="83" t="n">
        <f aca="false">Calculos!$B$399*Calculos!$B$392*Calculos!$G$409</f>
        <v>2820.83146386826</v>
      </c>
    </row>
    <row r="412" customFormat="false" ht="12.8" hidden="false" customHeight="false" outlineLevel="0" collapsed="false">
      <c r="A412" s="0" t="s">
        <v>317</v>
      </c>
      <c r="B412" s="83"/>
      <c r="C412" s="83" t="n">
        <f aca="false">Calculos!$C$408*Calculos!$C$410</f>
        <v>49337164.8</v>
      </c>
      <c r="D412" s="83" t="n">
        <f aca="false">Calculos!$D$408*Calculos!$D$410</f>
        <v>50817279.744</v>
      </c>
      <c r="E412" s="83" t="n">
        <f aca="false">Calculos!$E$408*Calculos!$E$410</f>
        <v>52341798.13632</v>
      </c>
      <c r="F412" s="83" t="n">
        <f aca="false">Calculos!$F$408*Calculos!$F$410</f>
        <v>53912052.0804096</v>
      </c>
      <c r="G412" s="83" t="n">
        <f aca="false">Calculos!$G$408*Calculos!$G$410</f>
        <v>55529413.6428219</v>
      </c>
    </row>
    <row r="413" customFormat="false" ht="12.8" hidden="false" customHeight="false" outlineLevel="0" collapsed="false">
      <c r="A413" s="0" t="s">
        <v>318</v>
      </c>
      <c r="B413" s="83"/>
      <c r="C413" s="83" t="n">
        <f aca="false">Calculos!$C$408*Calculos!$C$411</f>
        <v>39699351.9648</v>
      </c>
      <c r="D413" s="83" t="n">
        <f aca="false">Calculos!$D$408*Calculos!$D$411</f>
        <v>40890332.523744</v>
      </c>
      <c r="E413" s="83" t="n">
        <f aca="false">Calculos!$E$408*Calculos!$E$411</f>
        <v>42117042.4994563</v>
      </c>
      <c r="F413" s="83" t="n">
        <f aca="false">Calculos!$F$408*Calculos!$F$411</f>
        <v>43380553.77444</v>
      </c>
      <c r="G413" s="83" t="n">
        <f aca="false">Calculos!$G$408*Calculos!$G$411</f>
        <v>44681970.3876732</v>
      </c>
    </row>
    <row r="414" customFormat="false" ht="12.8" hidden="false" customHeight="false" outlineLevel="0" collapsed="false">
      <c r="A414" s="0" t="s">
        <v>319</v>
      </c>
      <c r="B414" s="83"/>
      <c r="C414" s="83" t="n">
        <f aca="false">Calculos!$B$400*12*Calculos!$B$393*Calculos!$C$409</f>
        <v>47382678</v>
      </c>
      <c r="D414" s="83" t="n">
        <f aca="false">Calculos!$B$400*12*Calculos!$B$393*Calculos!$D$409</f>
        <v>48804158.34</v>
      </c>
      <c r="E414" s="83" t="n">
        <f aca="false">Calculos!$B$400*12*Calculos!$B$393*Calculos!$E$409</f>
        <v>50268283.0902</v>
      </c>
      <c r="F414" s="83" t="n">
        <f aca="false">Calculos!$B$400*12*Calculos!$B$393*Calculos!$F$409</f>
        <v>51776331.582906</v>
      </c>
      <c r="G414" s="83" t="n">
        <f aca="false">Calculos!$B$400*12*Calculos!$B$393*Calculos!$G$409</f>
        <v>53329621.5303932</v>
      </c>
    </row>
    <row r="415" customFormat="false" ht="12.8" hidden="false" customHeight="false" outlineLevel="0" collapsed="false">
      <c r="A415" s="0" t="s">
        <v>320</v>
      </c>
      <c r="B415" s="83"/>
      <c r="C415" s="83" t="n">
        <f aca="false">Calculos!$C$412-Calculos!$C$413-Calculos!$C$414</f>
        <v>-37744865.1648</v>
      </c>
      <c r="D415" s="83" t="n">
        <f aca="false">Calculos!$D$412-Calculos!$D$413-Calculos!$D$414</f>
        <v>-38877211.119744</v>
      </c>
      <c r="E415" s="83" t="n">
        <f aca="false">Calculos!$E$412-Calculos!$E$413-Calculos!$E$414</f>
        <v>-40043527.4533363</v>
      </c>
      <c r="F415" s="83" t="n">
        <f aca="false">Calculos!$F$412-Calculos!$F$413-Calculos!$F$414</f>
        <v>-41244833.2769364</v>
      </c>
      <c r="G415" s="83" t="n">
        <f aca="false">Calculos!$G$412-Calculos!$G$413-Calculos!$G$414</f>
        <v>-42482178.2752445</v>
      </c>
    </row>
    <row r="416" customFormat="false" ht="12.8" hidden="false" customHeight="false" outlineLevel="0" collapsed="false">
      <c r="A416" s="0" t="s">
        <v>321</v>
      </c>
      <c r="B416" s="83"/>
      <c r="C416" s="83" t="n">
        <f aca="false">Calculos!$B$403</f>
        <v>2718401.34325</v>
      </c>
      <c r="D416" s="83" t="n">
        <f aca="false">Calculos!$B$403</f>
        <v>2718401.34325</v>
      </c>
      <c r="E416" s="83" t="n">
        <f aca="false">Calculos!$B$403</f>
        <v>2718401.34325</v>
      </c>
      <c r="F416" s="83" t="n">
        <f aca="false">Calculos!$B$403</f>
        <v>2718401.34325</v>
      </c>
      <c r="G416" s="83" t="n">
        <f aca="false">Calculos!$B$403</f>
        <v>2718401.34325</v>
      </c>
    </row>
    <row r="417" customFormat="false" ht="12.8" hidden="false" customHeight="false" outlineLevel="0" collapsed="false">
      <c r="A417" s="0" t="s">
        <v>322</v>
      </c>
      <c r="B417" s="83"/>
      <c r="C417" s="83" t="n">
        <f aca="false">Calculos!$C$415-Calculos!$C$416</f>
        <v>-40463266.50805</v>
      </c>
      <c r="D417" s="83" t="n">
        <f aca="false">Calculos!$D$415-Calculos!$D$416</f>
        <v>-41595612.462994</v>
      </c>
      <c r="E417" s="83" t="n">
        <f aca="false">Calculos!$E$415-Calculos!$E$416</f>
        <v>-42761928.7965863</v>
      </c>
      <c r="F417" s="83" t="n">
        <f aca="false">Calculos!$F$415-Calculos!$F$416</f>
        <v>-43963234.6201864</v>
      </c>
      <c r="G417" s="83" t="n">
        <f aca="false">Calculos!$G$415-Calculos!$G$416</f>
        <v>-45200579.6184945</v>
      </c>
    </row>
    <row r="418" customFormat="false" ht="12.8" hidden="false" customHeight="false" outlineLevel="0" collapsed="false">
      <c r="A418" s="0" t="s">
        <v>323</v>
      </c>
      <c r="B418" s="83"/>
      <c r="C418" s="83" t="n">
        <f aca="false">0</f>
        <v>0</v>
      </c>
      <c r="D418" s="83" t="n">
        <f aca="false">Calculos!$C$421</f>
        <v>40463266.50805</v>
      </c>
      <c r="E418" s="83" t="n">
        <f aca="false">Calculos!$D$421</f>
        <v>82058878.971044</v>
      </c>
      <c r="F418" s="83" t="n">
        <f aca="false">Calculos!$E$421</f>
        <v>124820807.76763</v>
      </c>
      <c r="G418" s="83" t="n">
        <f aca="false">Calculos!$F$421</f>
        <v>168784042.387817</v>
      </c>
    </row>
    <row r="419" customFormat="false" ht="12.8" hidden="false" customHeight="false" outlineLevel="0" collapsed="false">
      <c r="A419" s="0" t="s">
        <v>324</v>
      </c>
      <c r="B419" s="83"/>
      <c r="C419" s="83" t="n">
        <f aca="false">MAX(0,Calculos!$C$417-Calculos!$C$418)</f>
        <v>0</v>
      </c>
      <c r="D419" s="83" t="n">
        <f aca="false">MAX(0,Calculos!$D$417-Calculos!$D$418)</f>
        <v>0</v>
      </c>
      <c r="E419" s="83" t="n">
        <f aca="false">MAX(0,Calculos!$E$417-Calculos!$E$418)</f>
        <v>0</v>
      </c>
      <c r="F419" s="83" t="n">
        <f aca="false">MAX(0,Calculos!$F$417-Calculos!$F$418)</f>
        <v>0</v>
      </c>
      <c r="G419" s="83" t="n">
        <f aca="false">MAX(0,Calculos!$G$417-Calculos!$G$418)</f>
        <v>0</v>
      </c>
    </row>
    <row r="420" customFormat="false" ht="12.8" hidden="false" customHeight="false" outlineLevel="0" collapsed="false">
      <c r="A420" s="0" t="s">
        <v>325</v>
      </c>
      <c r="B420" s="83"/>
      <c r="C420" s="83" t="n">
        <f aca="false">Calculos!$C$419*Inputs!$C$21</f>
        <v>0</v>
      </c>
      <c r="D420" s="83" t="n">
        <f aca="false">Calculos!$D$419*Inputs!$C$22</f>
        <v>0</v>
      </c>
      <c r="E420" s="83" t="n">
        <f aca="false">Calculos!$E$419*Inputs!$C$23</f>
        <v>0</v>
      </c>
      <c r="F420" s="83" t="n">
        <f aca="false">Calculos!$F$419*Inputs!$C$24</f>
        <v>0</v>
      </c>
      <c r="G420" s="83" t="n">
        <f aca="false">Calculos!$G$419*Inputs!$C$25</f>
        <v>0</v>
      </c>
    </row>
    <row r="421" customFormat="false" ht="12.8" hidden="false" customHeight="false" outlineLevel="0" collapsed="false">
      <c r="A421" s="0" t="s">
        <v>326</v>
      </c>
      <c r="B421" s="83"/>
      <c r="C421" s="83" t="n">
        <f aca="false">MAX(0,Calculos!$C$418-Calculos!$C$417)</f>
        <v>40463266.50805</v>
      </c>
      <c r="D421" s="83" t="n">
        <f aca="false">MAX(0,Calculos!$D$418-Calculos!$D$417)</f>
        <v>82058878.971044</v>
      </c>
      <c r="E421" s="83" t="n">
        <f aca="false">MAX(0,Calculos!$E$418-Calculos!$E$417)</f>
        <v>124820807.76763</v>
      </c>
      <c r="F421" s="83" t="n">
        <f aca="false">MAX(0,Calculos!$F$418-Calculos!$F$417)</f>
        <v>168784042.387817</v>
      </c>
      <c r="G421" s="83" t="n">
        <f aca="false">MAX(0,Calculos!$G$418-Calculos!$G$417)</f>
        <v>213984622.006311</v>
      </c>
    </row>
    <row r="422" customFormat="false" ht="12.8" hidden="false" customHeight="false" outlineLevel="0" collapsed="false">
      <c r="A422" s="0" t="s">
        <v>327</v>
      </c>
      <c r="B422" s="83"/>
      <c r="C422" s="83" t="n">
        <f aca="false">Calculos!$C$412*Inputs!$C$47/365+Calculos!$C$413*Inputs!$C$48/365-Calculos!$C$413*Inputs!$C$49/365</f>
        <v>5686589.65334795</v>
      </c>
      <c r="D422" s="83" t="n">
        <f aca="false">Calculos!$D$412*Inputs!$C$47/365+Calculos!$D$413*Inputs!$C$48/365-Calculos!$D$413*Inputs!$C$49/365</f>
        <v>5857187.34294838</v>
      </c>
      <c r="E422" s="83" t="n">
        <f aca="false">Calculos!$E$412*Inputs!$C$47/365+Calculos!$E$413*Inputs!$C$48/365-Calculos!$E$413*Inputs!$C$49/365</f>
        <v>6032902.96323684</v>
      </c>
      <c r="F422" s="83" t="n">
        <f aca="false">Calculos!$F$412*Inputs!$C$47/365+Calculos!$F$413*Inputs!$C$48/365-Calculos!$F$413*Inputs!$C$49/365</f>
        <v>6213890.05213394</v>
      </c>
      <c r="G422" s="83" t="n">
        <f aca="false">Calculos!$G$412*Inputs!$C$47/365+Calculos!$G$413*Inputs!$C$48/365-Calculos!$G$413*Inputs!$C$49/365</f>
        <v>6400306.75369796</v>
      </c>
    </row>
    <row r="423" customFormat="false" ht="12.8" hidden="false" customHeight="false" outlineLevel="0" collapsed="false">
      <c r="A423" s="0" t="s">
        <v>328</v>
      </c>
      <c r="B423" s="83"/>
      <c r="C423" s="83" t="n">
        <f aca="false">Calculos!$C$422-Calculos!$C$422</f>
        <v>0</v>
      </c>
      <c r="D423" s="83" t="n">
        <f aca="false">Calculos!$D$422-Calculos!$C$422</f>
        <v>170597.689600437</v>
      </c>
      <c r="E423" s="83" t="n">
        <f aca="false">Calculos!$E$422-Calculos!$D$422</f>
        <v>175715.620288451</v>
      </c>
      <c r="F423" s="83" t="n">
        <f aca="false">Calculos!$F$422-Calculos!$E$422</f>
        <v>180987.088897106</v>
      </c>
      <c r="G423" s="83" t="n">
        <f aca="false">Calculos!$G$422-Calculos!$F$422</f>
        <v>186416.701564018</v>
      </c>
    </row>
    <row r="424" customFormat="false" ht="12.8" hidden="false" customHeight="false" outlineLevel="0" collapsed="false">
      <c r="A424" s="0" t="s">
        <v>329</v>
      </c>
      <c r="B424" s="83"/>
      <c r="C424" s="83" t="n">
        <f aca="false">0</f>
        <v>0</v>
      </c>
      <c r="D424" s="83" t="n">
        <f aca="false">0</f>
        <v>0</v>
      </c>
      <c r="E424" s="83" t="n">
        <f aca="false">0</f>
        <v>0</v>
      </c>
      <c r="F424" s="83" t="n">
        <f aca="false">0</f>
        <v>0</v>
      </c>
      <c r="G424" s="83" t="n">
        <f aca="false">Calculos!$B$404-MAX(0,(Calculos!$B$404-MAX(0,Calculos!$B$401-Calculos!$B$403*5)))*Inputs!$C$25+Calculos!$G$422+Calculos!$B$405</f>
        <v>10638148.096948</v>
      </c>
    </row>
    <row r="425" customFormat="false" ht="12.8" hidden="false" customHeight="false" outlineLevel="0" collapsed="false">
      <c r="A425" s="0" t="s">
        <v>330</v>
      </c>
      <c r="B425" s="83" t="n">
        <f aca="false">-(Calculos!$B$402+Calculos!$B$405+Calculos!$C$422)</f>
        <v>-36890043.0858479</v>
      </c>
      <c r="C425" s="83" t="n">
        <f aca="false">Calculos!$C$415-Calculos!$C$420-Calculos!$C$423+Calculos!$C$424</f>
        <v>-37744865.1648</v>
      </c>
      <c r="D425" s="83" t="n">
        <f aca="false">Calculos!$D$415-Calculos!$D$420-Calculos!$D$423+Calculos!$D$424</f>
        <v>-39047808.8093444</v>
      </c>
      <c r="E425" s="83" t="n">
        <f aca="false">Calculos!$E$415-Calculos!$E$420-Calculos!$E$423+Calculos!$E$424</f>
        <v>-40219243.0736248</v>
      </c>
      <c r="F425" s="83" t="n">
        <f aca="false">Calculos!$F$415-Calculos!$F$420-Calculos!$F$423+Calculos!$F$424</f>
        <v>-41425820.3658335</v>
      </c>
      <c r="G425" s="83" t="n">
        <f aca="false">Calculos!$G$415-Calculos!$G$420-Calculos!$G$423+Calculos!$G$424</f>
        <v>-32030446.8798606</v>
      </c>
    </row>
    <row r="426" customFormat="false" ht="12.8" hidden="false" customHeight="false" outlineLevel="0" collapsed="false">
      <c r="A426" s="0" t="s">
        <v>331</v>
      </c>
      <c r="B426" s="83" t="n">
        <v>1</v>
      </c>
      <c r="C426" s="83" t="n">
        <f aca="false">1/(1+Inputs!$C$6)^1</f>
        <v>0.830151087497925</v>
      </c>
      <c r="D426" s="83" t="n">
        <f aca="false">1/(1+Inputs!$C$6)^2</f>
        <v>0.689150828073987</v>
      </c>
      <c r="E426" s="83" t="n">
        <f aca="false">1/(1+Inputs!$C$6)^3</f>
        <v>0.572099309375715</v>
      </c>
      <c r="F426" s="83" t="n">
        <f aca="false">1/(1+Inputs!$C$6)^4</f>
        <v>0.474928863835062</v>
      </c>
      <c r="G426" s="83" t="n">
        <f aca="false">1/(1+Inputs!$C$6)^5</f>
        <v>0.39426271279683</v>
      </c>
    </row>
    <row r="427" customFormat="false" ht="12.8" hidden="false" customHeight="false" outlineLevel="0" collapsed="false">
      <c r="A427" s="0" t="s">
        <v>332</v>
      </c>
      <c r="B427" s="83" t="n">
        <f aca="false">Calculos!$B$425</f>
        <v>-36890043.0858479</v>
      </c>
      <c r="C427" s="83" t="n">
        <f aca="false">Calculos!$C$425*Calculos!$C$426</f>
        <v>-31333940.8640213</v>
      </c>
      <c r="D427" s="83" t="n">
        <f aca="false">Calculos!$D$425*Calculos!$D$426</f>
        <v>-26909829.7754344</v>
      </c>
      <c r="E427" s="83" t="n">
        <f aca="false">Calculos!$E$425*Calculos!$E$426</f>
        <v>-23009401.1860348</v>
      </c>
      <c r="F427" s="83" t="n">
        <f aca="false">Calculos!$F$425*Calculos!$F$426</f>
        <v>-19674317.7997807</v>
      </c>
      <c r="G427" s="83" t="n">
        <f aca="false">Calculos!$G$425*Calculos!$G$426</f>
        <v>-12628410.8789486</v>
      </c>
    </row>
    <row r="428" customFormat="false" ht="12.8" hidden="false" customHeight="false" outlineLevel="0" collapsed="false">
      <c r="A428" s="0" t="s">
        <v>333</v>
      </c>
      <c r="B428" s="83" t="n">
        <f aca="false">Calculos!$B$425</f>
        <v>-36890043.0858479</v>
      </c>
      <c r="C428" s="83" t="n">
        <f aca="false">Calculos!$B$428+Calculos!$C$425</f>
        <v>-74634908.250648</v>
      </c>
      <c r="D428" s="83" t="n">
        <f aca="false">Calculos!$C$428+Calculos!$D$425</f>
        <v>-113682717.059992</v>
      </c>
      <c r="E428" s="83" t="n">
        <f aca="false">Calculos!$D$428+Calculos!$E$425</f>
        <v>-153901960.133617</v>
      </c>
      <c r="F428" s="83" t="n">
        <f aca="false">Calculos!$E$428+Calculos!$F$425</f>
        <v>-195327780.499451</v>
      </c>
      <c r="G428" s="83" t="n">
        <f aca="false">Calculos!$F$428+Calculos!$G$425</f>
        <v>-227358227.379311</v>
      </c>
    </row>
    <row r="429" customFormat="false" ht="12.8" hidden="false" customHeight="false" outlineLevel="0" collapsed="false">
      <c r="A429" s="0" t="s">
        <v>334</v>
      </c>
      <c r="B429" s="83" t="n">
        <f aca="false">Calculos!$B$427</f>
        <v>-36890043.0858479</v>
      </c>
      <c r="C429" s="83" t="n">
        <f aca="false">Calculos!$B$429+Calculos!$C$427</f>
        <v>-68223983.9498692</v>
      </c>
      <c r="D429" s="83" t="n">
        <f aca="false">Calculos!$C$429+Calculos!$D$427</f>
        <v>-95133813.7253036</v>
      </c>
      <c r="E429" s="83" t="n">
        <f aca="false">Calculos!$D$429+Calculos!$E$427</f>
        <v>-118143214.911338</v>
      </c>
      <c r="F429" s="83" t="n">
        <f aca="false">Calculos!$E$429+Calculos!$F$427</f>
        <v>-137817532.711119</v>
      </c>
      <c r="G429" s="83" t="n">
        <f aca="false">Calculos!$F$429+Calculos!$G$427</f>
        <v>-150445943.590068</v>
      </c>
    </row>
    <row r="431" customFormat="false" ht="12.8" hidden="false" customHeight="false" outlineLevel="0" collapsed="false">
      <c r="A431" s="0" t="s">
        <v>3</v>
      </c>
      <c r="B431" s="83" t="n">
        <f aca="false">-Calculos!$B$425</f>
        <v>36890043.0858479</v>
      </c>
    </row>
    <row r="432" customFormat="false" ht="12.8" hidden="false" customHeight="false" outlineLevel="0" collapsed="false">
      <c r="A432" s="0" t="s">
        <v>7</v>
      </c>
      <c r="B432" s="83" t="n">
        <f aca="false">SUM(Calculos!$B$427:$G$427)</f>
        <v>-150445943.590068</v>
      </c>
    </row>
    <row r="433" customFormat="false" ht="12.8" hidden="false" customHeight="false" outlineLevel="0" collapsed="false">
      <c r="A433" s="0" t="s">
        <v>9</v>
      </c>
      <c r="B433" s="84" t="e">
        <f aca="false">IFERROR(IRR(Calculos!$B$425:$G$425),NA())</f>
        <v>#N/A</v>
      </c>
    </row>
    <row r="434" customFormat="false" ht="12.8" hidden="false" customHeight="false" outlineLevel="0" collapsed="false">
      <c r="A434" s="0" t="s">
        <v>10</v>
      </c>
      <c r="B434" s="0" t="e">
        <f aca="false">IFERROR(IF(Calculos!$C$429&gt;=0,0+(-Calculos!$B$429/Calculos!$C$427),IF(Calculos!$D$429&gt;=0,1+(-Calculos!$C$429/Calculos!$D$427),IF(Calculos!$E$429&gt;=0,2+(-Calculos!$D$429/Calculos!$E$427),IF(Calculos!$F$429&gt;=0,3+(-Calculos!$E$429/Calculos!$F$427),IF(Calculos!$G$429&gt;=0,4+(-Calculos!$F$429/Calculos!$G$427),NA()))))),NA())</f>
        <v>#N/A</v>
      </c>
    </row>
    <row r="435" customFormat="false" ht="12.8" hidden="false" customHeight="false" outlineLevel="0" collapsed="false">
      <c r="A435" s="0" t="s">
        <v>12</v>
      </c>
      <c r="B435" s="0" t="n">
        <f aca="false">(Calculos!$C$427+Calculos!$D$427+Calculos!$E$427+Calculos!$F$427+Calculos!$G$427)/(-Calculos!$B$425)</f>
        <v>-3.07822629103361</v>
      </c>
    </row>
    <row r="436" customFormat="false" ht="12.8" hidden="false" customHeight="false" outlineLevel="0" collapsed="false">
      <c r="A436" s="0" t="s">
        <v>5</v>
      </c>
      <c r="B436" s="83" t="n">
        <f aca="false">-MIN(Calculos!$B$428:$G$428)</f>
        <v>227358227.379311</v>
      </c>
    </row>
    <row r="437" customFormat="false" ht="12.8" hidden="false" customHeight="false" outlineLevel="0" collapsed="false">
      <c r="A437" s="0" t="s">
        <v>363</v>
      </c>
      <c r="B437" s="0" t="n">
        <f aca="false">IF((Calculos!$C$410-Calculos!$C$411)&gt;0,Calculos!$C$414/(Calculos!$C$410-Calculos!$C$411)/12,NA())</f>
        <v>6489.55691809739</v>
      </c>
    </row>
    <row r="438" customFormat="false" ht="12.8" hidden="false" customHeight="false" outlineLevel="0" collapsed="false">
      <c r="A438" s="0" t="s">
        <v>364</v>
      </c>
      <c r="B438" s="0" t="n">
        <f aca="false">IF(AND(Inputs!$C$51&gt;0,Inputs!$C$52&gt;0),Inputs!$C$51*Inputs!$C$52*12,NA())</f>
        <v>15840</v>
      </c>
    </row>
    <row r="439" customFormat="false" ht="12.8" hidden="false" customHeight="false" outlineLevel="0" collapsed="false">
      <c r="A439" s="0" t="s">
        <v>365</v>
      </c>
      <c r="B439" s="0" t="n">
        <f aca="false">IFERROR(Calculos!$G$408/Calculos!$B$438,NA())</f>
        <v>1</v>
      </c>
    </row>
    <row r="440" customFormat="false" ht="12.8" hidden="false" customHeight="false" outlineLevel="0" collapsed="false">
      <c r="A440" s="0" t="s">
        <v>366</v>
      </c>
      <c r="B440" s="0" t="n">
        <f aca="false">IFERROR(Calculos!$B$437*12/Calculos!$B$438,NA())</f>
        <v>4.91633099855863</v>
      </c>
    </row>
    <row r="441" customFormat="false" ht="12.8" hidden="false" customHeight="false" outlineLevel="0" collapsed="false">
      <c r="A441" s="0" t="s">
        <v>367</v>
      </c>
      <c r="B441" s="0" t="n">
        <f aca="false">IFERROR(Calculos!$B$432/Calculos!$B$436,NA())</f>
        <v>-0.661713214974501</v>
      </c>
    </row>
    <row r="444" customFormat="false" ht="12.8" hidden="false" customHeight="false" outlineLevel="0" collapsed="false">
      <c r="A444" s="81" t="s">
        <v>375</v>
      </c>
      <c r="B444" s="81"/>
      <c r="C444" s="81"/>
      <c r="D444" s="81"/>
      <c r="E444" s="81"/>
      <c r="F444" s="81"/>
      <c r="G444" s="81"/>
    </row>
    <row r="445" customFormat="false" ht="12.8" hidden="false" customHeight="false" outlineLevel="0" collapsed="false">
      <c r="A445" s="0" t="s">
        <v>316</v>
      </c>
      <c r="B445" s="0" t="n">
        <f aca="false">1</f>
        <v>1</v>
      </c>
    </row>
    <row r="446" customFormat="false" ht="12.8" hidden="false" customHeight="false" outlineLevel="0" collapsed="false">
      <c r="A446" s="0" t="s">
        <v>315</v>
      </c>
      <c r="B446" s="0" t="n">
        <f aca="false">1</f>
        <v>1</v>
      </c>
    </row>
    <row r="447" customFormat="false" ht="12.8" hidden="false" customHeight="false" outlineLevel="0" collapsed="false">
      <c r="A447" s="0" t="s">
        <v>348</v>
      </c>
      <c r="B447" s="0" t="n">
        <f aca="false">1</f>
        <v>1</v>
      </c>
    </row>
    <row r="448" customFormat="false" ht="12.8" hidden="false" customHeight="false" outlineLevel="0" collapsed="false">
      <c r="A448" s="0" t="s">
        <v>349</v>
      </c>
      <c r="B448" s="0" t="n">
        <f aca="false">1</f>
        <v>1</v>
      </c>
    </row>
    <row r="449" customFormat="false" ht="12.8" hidden="false" customHeight="false" outlineLevel="0" collapsed="false">
      <c r="A449" s="0" t="s">
        <v>350</v>
      </c>
      <c r="B449" s="0" t="n">
        <f aca="false">1</f>
        <v>1</v>
      </c>
    </row>
    <row r="451" customFormat="false" ht="12.8" hidden="false" customHeight="false" outlineLevel="0" collapsed="false">
      <c r="A451" s="0" t="s">
        <v>351</v>
      </c>
      <c r="B451" s="83" t="n">
        <f aca="false">IF(Inputs!$C$61&gt;0,Inputs!$C$61,Inputs!$C$53+Inputs!$C$54+Inputs!$C$55+Inputs!$C$56+Inputs!$C$57+Inputs!$C$58+Inputs!$C$59+Inputs!$C$60)</f>
        <v>10120237</v>
      </c>
    </row>
    <row r="452" customFormat="false" ht="12.8" hidden="false" customHeight="false" outlineLevel="0" collapsed="false">
      <c r="A452" s="0" t="s">
        <v>352</v>
      </c>
      <c r="B452" s="83" t="n">
        <f aca="false">Calculos!$B$451*Inputs!$C$62</f>
        <v>1518035.55</v>
      </c>
    </row>
    <row r="453" customFormat="false" ht="12.8" hidden="false" customHeight="false" outlineLevel="0" collapsed="false">
      <c r="A453" s="0" t="s">
        <v>353</v>
      </c>
      <c r="B453" s="83" t="n">
        <f aca="false">IF(Inputs!$C$39&gt;0,Inputs!$C$39,Inputs!$C$37*Inputs!$C$38)</f>
        <v>759720</v>
      </c>
    </row>
    <row r="454" customFormat="false" ht="12.8" hidden="false" customHeight="false" outlineLevel="0" collapsed="false">
      <c r="A454" s="0" t="s">
        <v>354</v>
      </c>
      <c r="B454" s="83" t="n">
        <f aca="false">((Inputs!$C$26*Inputs!$C$34+Inputs!$C$27*Inputs!$C$35+Inputs!$C$28*Inputs!$C$36+Inputs!$C$29)*(1+Inputs!$C$33)+Inputs!$C$30+Inputs!$C$31+Inputs!$C$32)</f>
        <v>2433.274</v>
      </c>
    </row>
    <row r="455" customFormat="false" ht="12.8" hidden="false" customHeight="false" outlineLevel="0" collapsed="false">
      <c r="A455" s="0" t="s">
        <v>355</v>
      </c>
      <c r="B455" s="83" t="n">
        <f aca="false">(Calculos!$B$453+IF(Inputs!$C$50&gt;0,Inputs!$C$50,Inputs!$C$40*Inputs!$C$41)+Inputs!$C$42+Inputs!$C$43+Inputs!$C$44+Inputs!$C$45+Inputs!$C$46)</f>
        <v>3833550</v>
      </c>
    </row>
    <row r="456" customFormat="false" ht="12.8" hidden="false" customHeight="false" outlineLevel="0" collapsed="false">
      <c r="A456" s="0" t="s">
        <v>356</v>
      </c>
      <c r="B456" s="83" t="n">
        <f aca="false">(Calculos!$B$451+Calculos!$B$452+Inputs!$C$63)*(1+Inputs!$C$66)*Calculos!$B$449</f>
        <v>27184013.4325</v>
      </c>
    </row>
    <row r="457" customFormat="false" ht="12.8" hidden="false" customHeight="false" outlineLevel="0" collapsed="false">
      <c r="A457" s="0" t="s">
        <v>357</v>
      </c>
      <c r="B457" s="83" t="n">
        <f aca="false">Calculos!$B$456+(Inputs!$C$64+Inputs!$C$65)*Calculos!$B$449</f>
        <v>29684013.4325</v>
      </c>
    </row>
    <row r="458" customFormat="false" ht="12.8" hidden="false" customHeight="false" outlineLevel="0" collapsed="false">
      <c r="A458" s="0" t="s">
        <v>358</v>
      </c>
      <c r="B458" s="83" t="n">
        <f aca="false">Calculos!$B$456/Inputs!$C$68</f>
        <v>2718401.34325</v>
      </c>
    </row>
    <row r="459" customFormat="false" ht="12.8" hidden="false" customHeight="false" outlineLevel="0" collapsed="false">
      <c r="A459" s="0" t="s">
        <v>359</v>
      </c>
      <c r="B459" s="83" t="n">
        <f aca="false">Calculos!$B$456*Inputs!$C$69</f>
        <v>2718401.34325</v>
      </c>
    </row>
    <row r="460" customFormat="false" ht="12.8" hidden="false" customHeight="false" outlineLevel="0" collapsed="false">
      <c r="A460" s="0" t="s">
        <v>360</v>
      </c>
      <c r="B460" s="83" t="n">
        <f aca="false">Calculos!$B$453*Inputs!$C$67</f>
        <v>1519440</v>
      </c>
    </row>
    <row r="462" customFormat="false" ht="18.45" hidden="false" customHeight="true" outlineLevel="0" collapsed="false">
      <c r="A462" s="45" t="s">
        <v>294</v>
      </c>
      <c r="B462" s="45" t="s">
        <v>309</v>
      </c>
      <c r="C462" s="45" t="s">
        <v>310</v>
      </c>
      <c r="D462" s="45" t="s">
        <v>311</v>
      </c>
      <c r="E462" s="45" t="s">
        <v>312</v>
      </c>
      <c r="F462" s="45" t="s">
        <v>313</v>
      </c>
      <c r="G462" s="45" t="s">
        <v>314</v>
      </c>
    </row>
    <row r="463" customFormat="false" ht="12.8" hidden="false" customHeight="false" outlineLevel="0" collapsed="false">
      <c r="A463" s="0" t="s">
        <v>315</v>
      </c>
      <c r="C463" s="0" t="n">
        <f aca="false">IF(AND(Inputs!$C$51&gt;0,Inputs!$C$52&gt;0),MIN((IF(Inputs!$C$11&gt;0,Inputs!$C$11*12,Inputs!$C$12))*Calculos!$B$446,Inputs!$C$51*Inputs!$C$52*12),(IF(Inputs!$C$11&gt;0,Inputs!$C$11*12,Inputs!$C$12))*Calculos!$B$446)</f>
        <v>15840</v>
      </c>
      <c r="D463" s="0" t="n">
        <f aca="false">IF(AND(Inputs!$C$51&gt;0,Inputs!$C$52&gt;0),MIN((IF(Inputs!$C$11&gt;0,Inputs!$C$11*12,Inputs!$C$12)*IF(Inputs!$C$17&gt;0,Inputs!$C$17,Inputs!$C$13/Inputs!$C$12))*Calculos!$B$446,Inputs!$C$51*Inputs!$C$52*12),(IF(Inputs!$C$11&gt;0,Inputs!$C$11*12,Inputs!$C$12)*IF(Inputs!$C$17&gt;0,Inputs!$C$17,Inputs!$C$13/Inputs!$C$12))*Calculos!$B$446)</f>
        <v>15840</v>
      </c>
      <c r="E463" s="0" t="n">
        <f aca="false">IF(AND(Inputs!$C$51&gt;0,Inputs!$C$52&gt;0),MIN((IF(Inputs!$C$11&gt;0,Inputs!$C$11*12,Inputs!$C$12)*IF(Inputs!$C$18&gt;0,Inputs!$C$18,Inputs!$C$14/Inputs!$C$12))*Calculos!$B$446,Inputs!$C$51*Inputs!$C$52*12),(IF(Inputs!$C$11&gt;0,Inputs!$C$11*12,Inputs!$C$12)*IF(Inputs!$C$18&gt;0,Inputs!$C$18,Inputs!$C$14/Inputs!$C$12))*Calculos!$B$446)</f>
        <v>15840</v>
      </c>
      <c r="F463" s="0" t="n">
        <f aca="false">IF(AND(Inputs!$C$51&gt;0,Inputs!$C$52&gt;0),MIN((IF(Inputs!$C$11&gt;0,Inputs!$C$11*12,Inputs!$C$12)*IF(Inputs!$C$19&gt;0,Inputs!$C$19,Inputs!$C$15/Inputs!$C$12))*Calculos!$B$446,Inputs!$C$51*Inputs!$C$52*12),(IF(Inputs!$C$11&gt;0,Inputs!$C$11*12,Inputs!$C$12)*IF(Inputs!$C$19&gt;0,Inputs!$C$19,Inputs!$C$15/Inputs!$C$12))*Calculos!$B$446)</f>
        <v>15840</v>
      </c>
      <c r="G463" s="0" t="n">
        <f aca="false">IF(AND(Inputs!$C$51&gt;0,Inputs!$C$52&gt;0),MIN((IF(Inputs!$C$11&gt;0,Inputs!$C$11*12,Inputs!$C$12)*IF(Inputs!$C$20&gt;0,Inputs!$C$20,Inputs!$C$16/Inputs!$C$12))*Calculos!$B$446,Inputs!$C$51*Inputs!$C$52*12),(IF(Inputs!$C$11&gt;0,Inputs!$C$11*12,Inputs!$C$12)*IF(Inputs!$C$20&gt;0,Inputs!$C$20,Inputs!$C$16/Inputs!$C$12))*Calculos!$B$446)</f>
        <v>15840</v>
      </c>
    </row>
    <row r="464" customFormat="false" ht="12.8" hidden="false" customHeight="false" outlineLevel="0" collapsed="false">
      <c r="A464" s="0" t="s">
        <v>361</v>
      </c>
      <c r="C464" s="0" t="n">
        <f aca="false">(1+Inputs!$C$7)^1</f>
        <v>1.03</v>
      </c>
      <c r="D464" s="0" t="n">
        <f aca="false">(1+Inputs!$C$7)^2</f>
        <v>1.0609</v>
      </c>
      <c r="E464" s="0" t="n">
        <f aca="false">(1+Inputs!$C$7)^3</f>
        <v>1.092727</v>
      </c>
      <c r="F464" s="0" t="n">
        <f aca="false">(1+Inputs!$C$7)^4</f>
        <v>1.12550881</v>
      </c>
      <c r="G464" s="0" t="n">
        <f aca="false">(1+Inputs!$C$7)^5</f>
        <v>1.1592740743</v>
      </c>
    </row>
    <row r="465" customFormat="false" ht="12.8" hidden="false" customHeight="false" outlineLevel="0" collapsed="false">
      <c r="A465" s="0" t="s">
        <v>316</v>
      </c>
      <c r="B465" s="83"/>
      <c r="C465" s="83" t="n">
        <f aca="false">Inputs!$C$10*Calculos!$B$445*Calculos!$C$464</f>
        <v>4326</v>
      </c>
      <c r="D465" s="83" t="n">
        <f aca="false">Inputs!$C$10*Calculos!$B$445*Calculos!$D$464</f>
        <v>4455.78</v>
      </c>
      <c r="E465" s="83" t="n">
        <f aca="false">Inputs!$C$10*Calculos!$B$445*Calculos!$E$464</f>
        <v>4589.4534</v>
      </c>
      <c r="F465" s="83" t="n">
        <f aca="false">Inputs!$C$10*Calculos!$B$445*Calculos!$F$464</f>
        <v>4727.137002</v>
      </c>
      <c r="G465" s="83" t="n">
        <f aca="false">Inputs!$C$10*Calculos!$B$445*Calculos!$G$464</f>
        <v>4868.95111206</v>
      </c>
    </row>
    <row r="466" customFormat="false" ht="12.8" hidden="false" customHeight="false" outlineLevel="0" collapsed="false">
      <c r="A466" s="0" t="s">
        <v>362</v>
      </c>
      <c r="B466" s="83"/>
      <c r="C466" s="83" t="n">
        <f aca="false">Calculos!$B$454*Calculos!$B$447*Calculos!$C$464</f>
        <v>2506.27222</v>
      </c>
      <c r="D466" s="83" t="n">
        <f aca="false">Calculos!$B$454*Calculos!$B$447*Calculos!$D$464</f>
        <v>2581.4603866</v>
      </c>
      <c r="E466" s="83" t="n">
        <f aca="false">Calculos!$B$454*Calculos!$B$447*Calculos!$E$464</f>
        <v>2658.904198198</v>
      </c>
      <c r="F466" s="83" t="n">
        <f aca="false">Calculos!$B$454*Calculos!$B$447*Calculos!$F$464</f>
        <v>2738.67132414394</v>
      </c>
      <c r="G466" s="83" t="n">
        <f aca="false">Calculos!$B$454*Calculos!$B$447*Calculos!$G$464</f>
        <v>2820.83146386826</v>
      </c>
    </row>
    <row r="467" customFormat="false" ht="12.8" hidden="false" customHeight="false" outlineLevel="0" collapsed="false">
      <c r="A467" s="0" t="s">
        <v>317</v>
      </c>
      <c r="B467" s="83"/>
      <c r="C467" s="83" t="n">
        <f aca="false">Calculos!$C$463*Calculos!$C$465</f>
        <v>68523840</v>
      </c>
      <c r="D467" s="83" t="n">
        <f aca="false">Calculos!$D$463*Calculos!$D$465</f>
        <v>70579555.2</v>
      </c>
      <c r="E467" s="83" t="n">
        <f aca="false">Calculos!$E$463*Calculos!$E$465</f>
        <v>72696941.856</v>
      </c>
      <c r="F467" s="83" t="n">
        <f aca="false">Calculos!$F$463*Calculos!$F$465</f>
        <v>74877850.11168</v>
      </c>
      <c r="G467" s="83" t="n">
        <f aca="false">Calculos!$G$463*Calculos!$G$465</f>
        <v>77124185.6150304</v>
      </c>
    </row>
    <row r="468" customFormat="false" ht="12.8" hidden="false" customHeight="false" outlineLevel="0" collapsed="false">
      <c r="A468" s="0" t="s">
        <v>318</v>
      </c>
      <c r="B468" s="83"/>
      <c r="C468" s="83" t="n">
        <f aca="false">Calculos!$C$463*Calculos!$C$466</f>
        <v>39699351.9648</v>
      </c>
      <c r="D468" s="83" t="n">
        <f aca="false">Calculos!$D$463*Calculos!$D$466</f>
        <v>40890332.523744</v>
      </c>
      <c r="E468" s="83" t="n">
        <f aca="false">Calculos!$E$463*Calculos!$E$466</f>
        <v>42117042.4994563</v>
      </c>
      <c r="F468" s="83" t="n">
        <f aca="false">Calculos!$F$463*Calculos!$F$466</f>
        <v>43380553.77444</v>
      </c>
      <c r="G468" s="83" t="n">
        <f aca="false">Calculos!$G$463*Calculos!$G$466</f>
        <v>44681970.3876732</v>
      </c>
    </row>
    <row r="469" customFormat="false" ht="12.8" hidden="false" customHeight="false" outlineLevel="0" collapsed="false">
      <c r="A469" s="0" t="s">
        <v>319</v>
      </c>
      <c r="B469" s="83"/>
      <c r="C469" s="83" t="n">
        <f aca="false">Calculos!$B$455*12*Calculos!$B$448*Calculos!$C$464</f>
        <v>47382678</v>
      </c>
      <c r="D469" s="83" t="n">
        <f aca="false">Calculos!$B$455*12*Calculos!$B$448*Calculos!$D$464</f>
        <v>48804158.34</v>
      </c>
      <c r="E469" s="83" t="n">
        <f aca="false">Calculos!$B$455*12*Calculos!$B$448*Calculos!$E$464</f>
        <v>50268283.0902</v>
      </c>
      <c r="F469" s="83" t="n">
        <f aca="false">Calculos!$B$455*12*Calculos!$B$448*Calculos!$F$464</f>
        <v>51776331.582906</v>
      </c>
      <c r="G469" s="83" t="n">
        <f aca="false">Calculos!$B$455*12*Calculos!$B$448*Calculos!$G$464</f>
        <v>53329621.5303932</v>
      </c>
    </row>
    <row r="470" customFormat="false" ht="12.8" hidden="false" customHeight="false" outlineLevel="0" collapsed="false">
      <c r="A470" s="0" t="s">
        <v>320</v>
      </c>
      <c r="B470" s="83"/>
      <c r="C470" s="83" t="n">
        <f aca="false">Calculos!$C$467-Calculos!$C$468-Calculos!$C$469</f>
        <v>-18558189.9648</v>
      </c>
      <c r="D470" s="83" t="n">
        <f aca="false">Calculos!$D$467-Calculos!$D$468-Calculos!$D$469</f>
        <v>-19114935.663744</v>
      </c>
      <c r="E470" s="83" t="n">
        <f aca="false">Calculos!$E$467-Calculos!$E$468-Calculos!$E$469</f>
        <v>-19688383.7336563</v>
      </c>
      <c r="F470" s="83" t="n">
        <f aca="false">Calculos!$F$467-Calculos!$F$468-Calculos!$F$469</f>
        <v>-20279035.245666</v>
      </c>
      <c r="G470" s="83" t="n">
        <f aca="false">Calculos!$G$467-Calculos!$G$468-Calculos!$G$469</f>
        <v>-20887406.303036</v>
      </c>
    </row>
    <row r="471" customFormat="false" ht="12.8" hidden="false" customHeight="false" outlineLevel="0" collapsed="false">
      <c r="A471" s="0" t="s">
        <v>321</v>
      </c>
      <c r="B471" s="83"/>
      <c r="C471" s="83" t="n">
        <f aca="false">Calculos!$B$458</f>
        <v>2718401.34325</v>
      </c>
      <c r="D471" s="83" t="n">
        <f aca="false">Calculos!$B$458</f>
        <v>2718401.34325</v>
      </c>
      <c r="E471" s="83" t="n">
        <f aca="false">Calculos!$B$458</f>
        <v>2718401.34325</v>
      </c>
      <c r="F471" s="83" t="n">
        <f aca="false">Calculos!$B$458</f>
        <v>2718401.34325</v>
      </c>
      <c r="G471" s="83" t="n">
        <f aca="false">Calculos!$B$458</f>
        <v>2718401.34325</v>
      </c>
    </row>
    <row r="472" customFormat="false" ht="12.8" hidden="false" customHeight="false" outlineLevel="0" collapsed="false">
      <c r="A472" s="0" t="s">
        <v>322</v>
      </c>
      <c r="B472" s="83"/>
      <c r="C472" s="83" t="n">
        <f aca="false">Calculos!$C$470-Calculos!$C$471</f>
        <v>-21276591.30805</v>
      </c>
      <c r="D472" s="83" t="n">
        <f aca="false">Calculos!$D$470-Calculos!$D$471</f>
        <v>-21833337.006994</v>
      </c>
      <c r="E472" s="83" t="n">
        <f aca="false">Calculos!$E$470-Calculos!$E$471</f>
        <v>-22406785.0769063</v>
      </c>
      <c r="F472" s="83" t="n">
        <f aca="false">Calculos!$F$470-Calculos!$F$471</f>
        <v>-22997436.588916</v>
      </c>
      <c r="G472" s="83" t="n">
        <f aca="false">Calculos!$G$470-Calculos!$G$471</f>
        <v>-23605807.646286</v>
      </c>
    </row>
    <row r="473" customFormat="false" ht="12.8" hidden="false" customHeight="false" outlineLevel="0" collapsed="false">
      <c r="A473" s="0" t="s">
        <v>323</v>
      </c>
      <c r="B473" s="83"/>
      <c r="C473" s="83" t="n">
        <f aca="false">0</f>
        <v>0</v>
      </c>
      <c r="D473" s="83" t="n">
        <f aca="false">Calculos!$C$476</f>
        <v>21276591.30805</v>
      </c>
      <c r="E473" s="83" t="n">
        <f aca="false">Calculos!$D$476</f>
        <v>43109928.315044</v>
      </c>
      <c r="F473" s="83" t="n">
        <f aca="false">Calculos!$E$476</f>
        <v>65516713.3919503</v>
      </c>
      <c r="G473" s="83" t="n">
        <f aca="false">Calculos!$F$476</f>
        <v>88514149.9808663</v>
      </c>
    </row>
    <row r="474" customFormat="false" ht="12.8" hidden="false" customHeight="false" outlineLevel="0" collapsed="false">
      <c r="A474" s="0" t="s">
        <v>324</v>
      </c>
      <c r="B474" s="83"/>
      <c r="C474" s="83" t="n">
        <f aca="false">MAX(0,Calculos!$C$472-Calculos!$C$473)</f>
        <v>0</v>
      </c>
      <c r="D474" s="83" t="n">
        <f aca="false">MAX(0,Calculos!$D$472-Calculos!$D$473)</f>
        <v>0</v>
      </c>
      <c r="E474" s="83" t="n">
        <f aca="false">MAX(0,Calculos!$E$472-Calculos!$E$473)</f>
        <v>0</v>
      </c>
      <c r="F474" s="83" t="n">
        <f aca="false">MAX(0,Calculos!$F$472-Calculos!$F$473)</f>
        <v>0</v>
      </c>
      <c r="G474" s="83" t="n">
        <f aca="false">MAX(0,Calculos!$G$472-Calculos!$G$473)</f>
        <v>0</v>
      </c>
    </row>
    <row r="475" customFormat="false" ht="12.8" hidden="false" customHeight="false" outlineLevel="0" collapsed="false">
      <c r="A475" s="0" t="s">
        <v>325</v>
      </c>
      <c r="B475" s="83"/>
      <c r="C475" s="83" t="n">
        <f aca="false">Calculos!$C$474*Inputs!$C$21</f>
        <v>0</v>
      </c>
      <c r="D475" s="83" t="n">
        <f aca="false">Calculos!$D$474*Inputs!$C$22</f>
        <v>0</v>
      </c>
      <c r="E475" s="83" t="n">
        <f aca="false">Calculos!$E$474*Inputs!$C$23</f>
        <v>0</v>
      </c>
      <c r="F475" s="83" t="n">
        <f aca="false">Calculos!$F$474*Inputs!$C$24</f>
        <v>0</v>
      </c>
      <c r="G475" s="83" t="n">
        <f aca="false">Calculos!$G$474*Inputs!$C$25</f>
        <v>0</v>
      </c>
    </row>
    <row r="476" customFormat="false" ht="12.8" hidden="false" customHeight="false" outlineLevel="0" collapsed="false">
      <c r="A476" s="0" t="s">
        <v>326</v>
      </c>
      <c r="B476" s="83"/>
      <c r="C476" s="83" t="n">
        <f aca="false">MAX(0,Calculos!$C$473-Calculos!$C$472)</f>
        <v>21276591.30805</v>
      </c>
      <c r="D476" s="83" t="n">
        <f aca="false">MAX(0,Calculos!$D$473-Calculos!$D$472)</f>
        <v>43109928.315044</v>
      </c>
      <c r="E476" s="83" t="n">
        <f aca="false">MAX(0,Calculos!$E$473-Calculos!$E$472)</f>
        <v>65516713.3919503</v>
      </c>
      <c r="F476" s="83" t="n">
        <f aca="false">MAX(0,Calculos!$F$473-Calculos!$F$472)</f>
        <v>88514149.9808663</v>
      </c>
      <c r="G476" s="83" t="n">
        <f aca="false">MAX(0,Calculos!$G$473-Calculos!$G$472)</f>
        <v>112119957.627152</v>
      </c>
    </row>
    <row r="477" customFormat="false" ht="12.8" hidden="false" customHeight="false" outlineLevel="0" collapsed="false">
      <c r="A477" s="0" t="s">
        <v>327</v>
      </c>
      <c r="B477" s="83"/>
      <c r="C477" s="83" t="n">
        <f aca="false">Calculos!$C$467*Inputs!$C$47/365+Calculos!$C$468*Inputs!$C$48/365-Calculos!$C$468*Inputs!$C$49/365</f>
        <v>7263576.65608767</v>
      </c>
      <c r="D477" s="83" t="n">
        <f aca="false">Calculos!$D$467*Inputs!$C$47/365+Calculos!$D$468*Inputs!$C$48/365-Calculos!$D$468*Inputs!$C$49/365</f>
        <v>7481483.9557703</v>
      </c>
      <c r="E477" s="83" t="n">
        <f aca="false">Calculos!$E$467*Inputs!$C$47/365+Calculos!$E$468*Inputs!$C$48/365-Calculos!$E$468*Inputs!$C$49/365</f>
        <v>7705928.47444341</v>
      </c>
      <c r="F477" s="83" t="n">
        <f aca="false">Calculos!$F$467*Inputs!$C$47/365+Calculos!$F$468*Inputs!$C$48/365-Calculos!$F$468*Inputs!$C$49/365</f>
        <v>7937106.32867671</v>
      </c>
      <c r="G477" s="83" t="n">
        <f aca="false">Calculos!$G$467*Inputs!$C$47/365+Calculos!$G$468*Inputs!$C$48/365-Calculos!$G$468*Inputs!$C$49/365</f>
        <v>8175219.51853702</v>
      </c>
    </row>
    <row r="478" customFormat="false" ht="12.8" hidden="false" customHeight="false" outlineLevel="0" collapsed="false">
      <c r="A478" s="0" t="s">
        <v>328</v>
      </c>
      <c r="B478" s="83"/>
      <c r="C478" s="83" t="n">
        <f aca="false">Calculos!$C$477-Calculos!$C$477</f>
        <v>0</v>
      </c>
      <c r="D478" s="83" t="n">
        <f aca="false">Calculos!$D$477-Calculos!$C$477</f>
        <v>217907.299682629</v>
      </c>
      <c r="E478" s="83" t="n">
        <f aca="false">Calculos!$E$477-Calculos!$D$477</f>
        <v>224444.51867311</v>
      </c>
      <c r="F478" s="83" t="n">
        <f aca="false">Calculos!$F$477-Calculos!$E$477</f>
        <v>231177.854233301</v>
      </c>
      <c r="G478" s="83" t="n">
        <f aca="false">Calculos!$G$477-Calculos!$F$477</f>
        <v>238113.189860302</v>
      </c>
    </row>
    <row r="479" customFormat="false" ht="12.8" hidden="false" customHeight="false" outlineLevel="0" collapsed="false">
      <c r="A479" s="0" t="s">
        <v>329</v>
      </c>
      <c r="B479" s="83"/>
      <c r="C479" s="83" t="n">
        <f aca="false">0</f>
        <v>0</v>
      </c>
      <c r="D479" s="83" t="n">
        <f aca="false">0</f>
        <v>0</v>
      </c>
      <c r="E479" s="83" t="n">
        <f aca="false">0</f>
        <v>0</v>
      </c>
      <c r="F479" s="83" t="n">
        <f aca="false">0</f>
        <v>0</v>
      </c>
      <c r="G479" s="83" t="n">
        <f aca="false">Calculos!$B$459-MAX(0,(Calculos!$B$459-MAX(0,Calculos!$B$456-Calculos!$B$458*5)))*Inputs!$C$25+Calculos!$G$477+Calculos!$B$460</f>
        <v>12413060.861787</v>
      </c>
    </row>
    <row r="480" customFormat="false" ht="12.8" hidden="false" customHeight="false" outlineLevel="0" collapsed="false">
      <c r="A480" s="0" t="s">
        <v>330</v>
      </c>
      <c r="B480" s="83" t="n">
        <f aca="false">-(Calculos!$B$457+Calculos!$B$460+Calculos!$C$477)</f>
        <v>-38467030.0885877</v>
      </c>
      <c r="C480" s="83" t="n">
        <f aca="false">Calculos!$C$470-Calculos!$C$475-Calculos!$C$478+Calculos!$C$479</f>
        <v>-18558189.9648</v>
      </c>
      <c r="D480" s="83" t="n">
        <f aca="false">Calculos!$D$470-Calculos!$D$475-Calculos!$D$478+Calculos!$D$479</f>
        <v>-19332842.9634266</v>
      </c>
      <c r="E480" s="83" t="n">
        <f aca="false">Calculos!$E$470-Calculos!$E$475-Calculos!$E$478+Calculos!$E$479</f>
        <v>-19912828.2523294</v>
      </c>
      <c r="F480" s="83" t="n">
        <f aca="false">Calculos!$F$470-Calculos!$F$475-Calculos!$F$478+Calculos!$F$479</f>
        <v>-20510213.0998993</v>
      </c>
      <c r="G480" s="83" t="n">
        <f aca="false">Calculos!$G$470-Calculos!$G$475-Calculos!$G$478+Calculos!$G$479</f>
        <v>-8712458.63110929</v>
      </c>
    </row>
    <row r="481" customFormat="false" ht="12.8" hidden="false" customHeight="false" outlineLevel="0" collapsed="false">
      <c r="A481" s="0" t="s">
        <v>331</v>
      </c>
      <c r="B481" s="83" t="n">
        <v>1</v>
      </c>
      <c r="C481" s="83" t="n">
        <f aca="false">1/(1+Inputs!$C$6)^1</f>
        <v>0.830151087497925</v>
      </c>
      <c r="D481" s="83" t="n">
        <f aca="false">1/(1+Inputs!$C$6)^2</f>
        <v>0.689150828073987</v>
      </c>
      <c r="E481" s="83" t="n">
        <f aca="false">1/(1+Inputs!$C$6)^3</f>
        <v>0.572099309375715</v>
      </c>
      <c r="F481" s="83" t="n">
        <f aca="false">1/(1+Inputs!$C$6)^4</f>
        <v>0.474928863835062</v>
      </c>
      <c r="G481" s="83" t="n">
        <f aca="false">1/(1+Inputs!$C$6)^5</f>
        <v>0.39426271279683</v>
      </c>
    </row>
    <row r="482" customFormat="false" ht="12.8" hidden="false" customHeight="false" outlineLevel="0" collapsed="false">
      <c r="A482" s="0" t="s">
        <v>332</v>
      </c>
      <c r="B482" s="83" t="n">
        <f aca="false">Calculos!$B$480</f>
        <v>-38467030.0885877</v>
      </c>
      <c r="C482" s="83" t="n">
        <f aca="false">Calculos!$C$480*Calculos!$C$481</f>
        <v>-15406101.5812718</v>
      </c>
      <c r="D482" s="83" t="n">
        <f aca="false">Calculos!$D$480*Calculos!$D$481</f>
        <v>-13323244.7372698</v>
      </c>
      <c r="E482" s="83" t="n">
        <f aca="false">Calculos!$E$480*Calculos!$E$481</f>
        <v>-11392115.2908749</v>
      </c>
      <c r="F482" s="83" t="n">
        <f aca="false">Calculos!$F$480*Calculos!$F$481</f>
        <v>-9740892.20455019</v>
      </c>
      <c r="G482" s="83" t="n">
        <f aca="false">Calculos!$G$480*Calculos!$G$481</f>
        <v>-3434997.57503131</v>
      </c>
    </row>
    <row r="483" customFormat="false" ht="12.8" hidden="false" customHeight="false" outlineLevel="0" collapsed="false">
      <c r="A483" s="0" t="s">
        <v>333</v>
      </c>
      <c r="B483" s="83" t="n">
        <f aca="false">Calculos!$B$480</f>
        <v>-38467030.0885877</v>
      </c>
      <c r="C483" s="83" t="n">
        <f aca="false">Calculos!$B$483+Calculos!$C$480</f>
        <v>-57025220.0533877</v>
      </c>
      <c r="D483" s="83" t="n">
        <f aca="false">Calculos!$C$483+Calculos!$D$480</f>
        <v>-76358063.0168143</v>
      </c>
      <c r="E483" s="83" t="n">
        <f aca="false">Calculos!$D$483+Calculos!$E$480</f>
        <v>-96270891.2691437</v>
      </c>
      <c r="F483" s="83" t="n">
        <f aca="false">Calculos!$E$483+Calculos!$F$480</f>
        <v>-116781104.369043</v>
      </c>
      <c r="G483" s="83" t="n">
        <f aca="false">Calculos!$F$483+Calculos!$G$480</f>
        <v>-125493563.000152</v>
      </c>
    </row>
    <row r="484" customFormat="false" ht="12.8" hidden="false" customHeight="false" outlineLevel="0" collapsed="false">
      <c r="A484" s="0" t="s">
        <v>334</v>
      </c>
      <c r="B484" s="83" t="n">
        <f aca="false">Calculos!$B$482</f>
        <v>-38467030.0885877</v>
      </c>
      <c r="C484" s="83" t="n">
        <f aca="false">Calculos!$B$484+Calculos!$C$482</f>
        <v>-53873131.6698595</v>
      </c>
      <c r="D484" s="83" t="n">
        <f aca="false">Calculos!$C$484+Calculos!$D$482</f>
        <v>-67196376.4071293</v>
      </c>
      <c r="E484" s="83" t="n">
        <f aca="false">Calculos!$D$484+Calculos!$E$482</f>
        <v>-78588491.6980042</v>
      </c>
      <c r="F484" s="83" t="n">
        <f aca="false">Calculos!$E$484+Calculos!$F$482</f>
        <v>-88329383.9025544</v>
      </c>
      <c r="G484" s="83" t="n">
        <f aca="false">Calculos!$F$484+Calculos!$G$482</f>
        <v>-91764381.4775857</v>
      </c>
    </row>
    <row r="486" customFormat="false" ht="12.8" hidden="false" customHeight="false" outlineLevel="0" collapsed="false">
      <c r="A486" s="0" t="s">
        <v>3</v>
      </c>
      <c r="B486" s="83" t="n">
        <f aca="false">-Calculos!$B$480</f>
        <v>38467030.0885877</v>
      </c>
    </row>
    <row r="487" customFormat="false" ht="12.8" hidden="false" customHeight="false" outlineLevel="0" collapsed="false">
      <c r="A487" s="0" t="s">
        <v>7</v>
      </c>
      <c r="B487" s="83" t="n">
        <f aca="false">SUM(Calculos!$B$482:$G$482)</f>
        <v>-91764381.4775857</v>
      </c>
    </row>
    <row r="488" customFormat="false" ht="12.8" hidden="false" customHeight="false" outlineLevel="0" collapsed="false">
      <c r="A488" s="0" t="s">
        <v>9</v>
      </c>
      <c r="B488" s="84" t="e">
        <f aca="false">IFERROR(IRR(Calculos!$B$480:$G$480),NA())</f>
        <v>#N/A</v>
      </c>
    </row>
    <row r="489" customFormat="false" ht="12.8" hidden="false" customHeight="false" outlineLevel="0" collapsed="false">
      <c r="A489" s="0" t="s">
        <v>10</v>
      </c>
      <c r="B489" s="0" t="e">
        <f aca="false">IFERROR(IF(Calculos!$C$484&gt;=0,0+(-Calculos!$B$484/Calculos!$C$482),IF(Calculos!$D$484&gt;=0,1+(-Calculos!$C$484/Calculos!$D$482),IF(Calculos!$E$484&gt;=0,2+(-Calculos!$D$484/Calculos!$E$482),IF(Calculos!$F$484&gt;=0,3+(-Calculos!$E$484/Calculos!$F$482),IF(Calculos!$G$484&gt;=0,4+(-Calculos!$F$484/Calculos!$G$482),NA()))))),NA())</f>
        <v>#N/A</v>
      </c>
    </row>
    <row r="490" customFormat="false" ht="12.8" hidden="false" customHeight="false" outlineLevel="0" collapsed="false">
      <c r="A490" s="0" t="s">
        <v>12</v>
      </c>
      <c r="B490" s="0" t="n">
        <f aca="false">(Calculos!$C$482+Calculos!$D$482+Calculos!$E$482+Calculos!$F$482+Calculos!$G$482)/(-Calculos!$B$480)</f>
        <v>-1.38553330647718</v>
      </c>
    </row>
    <row r="491" customFormat="false" ht="12.8" hidden="false" customHeight="false" outlineLevel="0" collapsed="false">
      <c r="A491" s="0" t="s">
        <v>5</v>
      </c>
      <c r="B491" s="83" t="n">
        <f aca="false">-MIN(Calculos!$B$483:$G$483)</f>
        <v>125493563.000152</v>
      </c>
    </row>
    <row r="492" customFormat="false" ht="12.8" hidden="false" customHeight="false" outlineLevel="0" collapsed="false">
      <c r="A492" s="0" t="s">
        <v>363</v>
      </c>
      <c r="B492" s="0" t="n">
        <f aca="false">IF((Calculos!$C$465-Calculos!$C$466)&gt;0,Calculos!$C$469/(Calculos!$C$465-Calculos!$C$466)/12,NA())</f>
        <v>2169.86108768423</v>
      </c>
    </row>
    <row r="493" customFormat="false" ht="12.8" hidden="false" customHeight="false" outlineLevel="0" collapsed="false">
      <c r="A493" s="0" t="s">
        <v>364</v>
      </c>
      <c r="B493" s="0" t="n">
        <f aca="false">IF(AND(Inputs!$C$51&gt;0,Inputs!$C$52&gt;0),Inputs!$C$51*Inputs!$C$52*12,NA())</f>
        <v>15840</v>
      </c>
    </row>
    <row r="494" customFormat="false" ht="12.8" hidden="false" customHeight="false" outlineLevel="0" collapsed="false">
      <c r="A494" s="0" t="s">
        <v>365</v>
      </c>
      <c r="B494" s="0" t="n">
        <f aca="false">IFERROR(Calculos!$G$463/Calculos!$B$493,NA())</f>
        <v>1</v>
      </c>
    </row>
    <row r="495" customFormat="false" ht="12.8" hidden="false" customHeight="false" outlineLevel="0" collapsed="false">
      <c r="A495" s="0" t="s">
        <v>366</v>
      </c>
      <c r="B495" s="0" t="n">
        <f aca="false">IFERROR(Calculos!$B$492*12/Calculos!$B$493,NA())</f>
        <v>1.64383415733653</v>
      </c>
    </row>
    <row r="496" customFormat="false" ht="12.8" hidden="false" customHeight="false" outlineLevel="0" collapsed="false">
      <c r="A496" s="0" t="s">
        <v>367</v>
      </c>
      <c r="B496" s="0" t="n">
        <f aca="false">IFERROR(Calculos!$B$487/Calculos!$B$491,NA())</f>
        <v>-0.731227795942604</v>
      </c>
    </row>
    <row r="499" customFormat="false" ht="12.8" hidden="false" customHeight="false" outlineLevel="0" collapsed="false">
      <c r="A499" s="81" t="s">
        <v>376</v>
      </c>
      <c r="B499" s="81"/>
      <c r="C499" s="81"/>
      <c r="D499" s="81"/>
      <c r="E499" s="81"/>
      <c r="F499" s="81"/>
      <c r="G499" s="81"/>
    </row>
    <row r="500" customFormat="false" ht="12.8" hidden="false" customHeight="false" outlineLevel="0" collapsed="false">
      <c r="A500" s="0" t="s">
        <v>316</v>
      </c>
      <c r="B500" s="85" t="n">
        <f aca="false">Inputs!$C$86</f>
        <v>1.2</v>
      </c>
    </row>
    <row r="501" customFormat="false" ht="12.8" hidden="false" customHeight="false" outlineLevel="0" collapsed="false">
      <c r="A501" s="0" t="s">
        <v>315</v>
      </c>
      <c r="B501" s="0" t="n">
        <f aca="false">1</f>
        <v>1</v>
      </c>
    </row>
    <row r="502" customFormat="false" ht="12.8" hidden="false" customHeight="false" outlineLevel="0" collapsed="false">
      <c r="A502" s="0" t="s">
        <v>348</v>
      </c>
      <c r="B502" s="0" t="n">
        <f aca="false">1</f>
        <v>1</v>
      </c>
    </row>
    <row r="503" customFormat="false" ht="12.8" hidden="false" customHeight="false" outlineLevel="0" collapsed="false">
      <c r="A503" s="0" t="s">
        <v>349</v>
      </c>
      <c r="B503" s="0" t="n">
        <f aca="false">1</f>
        <v>1</v>
      </c>
    </row>
    <row r="504" customFormat="false" ht="12.8" hidden="false" customHeight="false" outlineLevel="0" collapsed="false">
      <c r="A504" s="0" t="s">
        <v>350</v>
      </c>
      <c r="B504" s="0" t="n">
        <f aca="false">1</f>
        <v>1</v>
      </c>
    </row>
    <row r="506" customFormat="false" ht="12.8" hidden="false" customHeight="false" outlineLevel="0" collapsed="false">
      <c r="A506" s="0" t="s">
        <v>351</v>
      </c>
      <c r="B506" s="83" t="n">
        <f aca="false">IF(Inputs!$C$61&gt;0,Inputs!$C$61,Inputs!$C$53+Inputs!$C$54+Inputs!$C$55+Inputs!$C$56+Inputs!$C$57+Inputs!$C$58+Inputs!$C$59+Inputs!$C$60)</f>
        <v>10120237</v>
      </c>
    </row>
    <row r="507" customFormat="false" ht="12.8" hidden="false" customHeight="false" outlineLevel="0" collapsed="false">
      <c r="A507" s="0" t="s">
        <v>352</v>
      </c>
      <c r="B507" s="83" t="n">
        <f aca="false">Calculos!$B$506*Inputs!$C$62</f>
        <v>1518035.55</v>
      </c>
    </row>
    <row r="508" customFormat="false" ht="12.8" hidden="false" customHeight="false" outlineLevel="0" collapsed="false">
      <c r="A508" s="0" t="s">
        <v>353</v>
      </c>
      <c r="B508" s="83" t="n">
        <f aca="false">IF(Inputs!$C$39&gt;0,Inputs!$C$39,Inputs!$C$37*Inputs!$C$38)</f>
        <v>759720</v>
      </c>
    </row>
    <row r="509" customFormat="false" ht="12.8" hidden="false" customHeight="false" outlineLevel="0" collapsed="false">
      <c r="A509" s="0" t="s">
        <v>354</v>
      </c>
      <c r="B509" s="83" t="n">
        <f aca="false">((Inputs!$C$26*Inputs!$C$34+Inputs!$C$27*Inputs!$C$35+Inputs!$C$28*Inputs!$C$36+Inputs!$C$29)*(1+Inputs!$C$33)+Inputs!$C$30+Inputs!$C$31+Inputs!$C$32)</f>
        <v>2433.274</v>
      </c>
    </row>
    <row r="510" customFormat="false" ht="12.8" hidden="false" customHeight="false" outlineLevel="0" collapsed="false">
      <c r="A510" s="0" t="s">
        <v>355</v>
      </c>
      <c r="B510" s="83" t="n">
        <f aca="false">(Calculos!$B$508+IF(Inputs!$C$50&gt;0,Inputs!$C$50,Inputs!$C$40*Inputs!$C$41)+Inputs!$C$42+Inputs!$C$43+Inputs!$C$44+Inputs!$C$45+Inputs!$C$46)</f>
        <v>3833550</v>
      </c>
    </row>
    <row r="511" customFormat="false" ht="12.8" hidden="false" customHeight="false" outlineLevel="0" collapsed="false">
      <c r="A511" s="0" t="s">
        <v>356</v>
      </c>
      <c r="B511" s="83" t="n">
        <f aca="false">(Calculos!$B$506+Calculos!$B$507+Inputs!$C$63)*(1+Inputs!$C$66)*Calculos!$B$504</f>
        <v>27184013.4325</v>
      </c>
    </row>
    <row r="512" customFormat="false" ht="12.8" hidden="false" customHeight="false" outlineLevel="0" collapsed="false">
      <c r="A512" s="0" t="s">
        <v>357</v>
      </c>
      <c r="B512" s="83" t="n">
        <f aca="false">Calculos!$B$511+(Inputs!$C$64+Inputs!$C$65)*Calculos!$B$504</f>
        <v>29684013.4325</v>
      </c>
    </row>
    <row r="513" customFormat="false" ht="12.8" hidden="false" customHeight="false" outlineLevel="0" collapsed="false">
      <c r="A513" s="0" t="s">
        <v>358</v>
      </c>
      <c r="B513" s="83" t="n">
        <f aca="false">Calculos!$B$511/Inputs!$C$68</f>
        <v>2718401.34325</v>
      </c>
    </row>
    <row r="514" customFormat="false" ht="12.8" hidden="false" customHeight="false" outlineLevel="0" collapsed="false">
      <c r="A514" s="0" t="s">
        <v>359</v>
      </c>
      <c r="B514" s="83" t="n">
        <f aca="false">Calculos!$B$511*Inputs!$C$69</f>
        <v>2718401.34325</v>
      </c>
    </row>
    <row r="515" customFormat="false" ht="12.8" hidden="false" customHeight="false" outlineLevel="0" collapsed="false">
      <c r="A515" s="0" t="s">
        <v>360</v>
      </c>
      <c r="B515" s="83" t="n">
        <f aca="false">Calculos!$B$508*Inputs!$C$67</f>
        <v>1519440</v>
      </c>
    </row>
    <row r="517" customFormat="false" ht="18.45" hidden="false" customHeight="true" outlineLevel="0" collapsed="false">
      <c r="A517" s="45" t="s">
        <v>294</v>
      </c>
      <c r="B517" s="45" t="s">
        <v>309</v>
      </c>
      <c r="C517" s="45" t="s">
        <v>310</v>
      </c>
      <c r="D517" s="45" t="s">
        <v>311</v>
      </c>
      <c r="E517" s="45" t="s">
        <v>312</v>
      </c>
      <c r="F517" s="45" t="s">
        <v>313</v>
      </c>
      <c r="G517" s="45" t="s">
        <v>314</v>
      </c>
    </row>
    <row r="518" customFormat="false" ht="12.8" hidden="false" customHeight="false" outlineLevel="0" collapsed="false">
      <c r="A518" s="0" t="s">
        <v>315</v>
      </c>
      <c r="C518" s="0" t="n">
        <f aca="false">IF(AND(Inputs!$C$51&gt;0,Inputs!$C$52&gt;0),MIN((IF(Inputs!$C$11&gt;0,Inputs!$C$11*12,Inputs!$C$12))*Calculos!$B$501,Inputs!$C$51*Inputs!$C$52*12),(IF(Inputs!$C$11&gt;0,Inputs!$C$11*12,Inputs!$C$12))*Calculos!$B$501)</f>
        <v>15840</v>
      </c>
      <c r="D518" s="0" t="n">
        <f aca="false">IF(AND(Inputs!$C$51&gt;0,Inputs!$C$52&gt;0),MIN((IF(Inputs!$C$11&gt;0,Inputs!$C$11*12,Inputs!$C$12)*IF(Inputs!$C$17&gt;0,Inputs!$C$17,Inputs!$C$13/Inputs!$C$12))*Calculos!$B$501,Inputs!$C$51*Inputs!$C$52*12),(IF(Inputs!$C$11&gt;0,Inputs!$C$11*12,Inputs!$C$12)*IF(Inputs!$C$17&gt;0,Inputs!$C$17,Inputs!$C$13/Inputs!$C$12))*Calculos!$B$501)</f>
        <v>15840</v>
      </c>
      <c r="E518" s="0" t="n">
        <f aca="false">IF(AND(Inputs!$C$51&gt;0,Inputs!$C$52&gt;0),MIN((IF(Inputs!$C$11&gt;0,Inputs!$C$11*12,Inputs!$C$12)*IF(Inputs!$C$18&gt;0,Inputs!$C$18,Inputs!$C$14/Inputs!$C$12))*Calculos!$B$501,Inputs!$C$51*Inputs!$C$52*12),(IF(Inputs!$C$11&gt;0,Inputs!$C$11*12,Inputs!$C$12)*IF(Inputs!$C$18&gt;0,Inputs!$C$18,Inputs!$C$14/Inputs!$C$12))*Calculos!$B$501)</f>
        <v>15840</v>
      </c>
      <c r="F518" s="0" t="n">
        <f aca="false">IF(AND(Inputs!$C$51&gt;0,Inputs!$C$52&gt;0),MIN((IF(Inputs!$C$11&gt;0,Inputs!$C$11*12,Inputs!$C$12)*IF(Inputs!$C$19&gt;0,Inputs!$C$19,Inputs!$C$15/Inputs!$C$12))*Calculos!$B$501,Inputs!$C$51*Inputs!$C$52*12),(IF(Inputs!$C$11&gt;0,Inputs!$C$11*12,Inputs!$C$12)*IF(Inputs!$C$19&gt;0,Inputs!$C$19,Inputs!$C$15/Inputs!$C$12))*Calculos!$B$501)</f>
        <v>15840</v>
      </c>
      <c r="G518" s="0" t="n">
        <f aca="false">IF(AND(Inputs!$C$51&gt;0,Inputs!$C$52&gt;0),MIN((IF(Inputs!$C$11&gt;0,Inputs!$C$11*12,Inputs!$C$12)*IF(Inputs!$C$20&gt;0,Inputs!$C$20,Inputs!$C$16/Inputs!$C$12))*Calculos!$B$501,Inputs!$C$51*Inputs!$C$52*12),(IF(Inputs!$C$11&gt;0,Inputs!$C$11*12,Inputs!$C$12)*IF(Inputs!$C$20&gt;0,Inputs!$C$20,Inputs!$C$16/Inputs!$C$12))*Calculos!$B$501)</f>
        <v>15840</v>
      </c>
    </row>
    <row r="519" customFormat="false" ht="12.8" hidden="false" customHeight="false" outlineLevel="0" collapsed="false">
      <c r="A519" s="0" t="s">
        <v>361</v>
      </c>
      <c r="C519" s="0" t="n">
        <f aca="false">(1+Inputs!$C$7)^1</f>
        <v>1.03</v>
      </c>
      <c r="D519" s="0" t="n">
        <f aca="false">(1+Inputs!$C$7)^2</f>
        <v>1.0609</v>
      </c>
      <c r="E519" s="0" t="n">
        <f aca="false">(1+Inputs!$C$7)^3</f>
        <v>1.092727</v>
      </c>
      <c r="F519" s="0" t="n">
        <f aca="false">(1+Inputs!$C$7)^4</f>
        <v>1.12550881</v>
      </c>
      <c r="G519" s="0" t="n">
        <f aca="false">(1+Inputs!$C$7)^5</f>
        <v>1.1592740743</v>
      </c>
    </row>
    <row r="520" customFormat="false" ht="12.8" hidden="false" customHeight="false" outlineLevel="0" collapsed="false">
      <c r="A520" s="0" t="s">
        <v>316</v>
      </c>
      <c r="B520" s="83"/>
      <c r="C520" s="83" t="n">
        <f aca="false">Inputs!$C$10*Calculos!$B$500*Calculos!$C$519</f>
        <v>5191.2</v>
      </c>
      <c r="D520" s="83" t="n">
        <f aca="false">Inputs!$C$10*Calculos!$B$500*Calculos!$D$519</f>
        <v>5346.936</v>
      </c>
      <c r="E520" s="83" t="n">
        <f aca="false">Inputs!$C$10*Calculos!$B$500*Calculos!$E$519</f>
        <v>5507.34408</v>
      </c>
      <c r="F520" s="83" t="n">
        <f aca="false">Inputs!$C$10*Calculos!$B$500*Calculos!$F$519</f>
        <v>5672.5644024</v>
      </c>
      <c r="G520" s="83" t="n">
        <f aca="false">Inputs!$C$10*Calculos!$B$500*Calculos!$G$519</f>
        <v>5842.741334472</v>
      </c>
    </row>
    <row r="521" customFormat="false" ht="12.8" hidden="false" customHeight="false" outlineLevel="0" collapsed="false">
      <c r="A521" s="0" t="s">
        <v>362</v>
      </c>
      <c r="B521" s="83"/>
      <c r="C521" s="83" t="n">
        <f aca="false">Calculos!$B$509*Calculos!$B$502*Calculos!$C$519</f>
        <v>2506.27222</v>
      </c>
      <c r="D521" s="83" t="n">
        <f aca="false">Calculos!$B$509*Calculos!$B$502*Calculos!$D$519</f>
        <v>2581.4603866</v>
      </c>
      <c r="E521" s="83" t="n">
        <f aca="false">Calculos!$B$509*Calculos!$B$502*Calculos!$E$519</f>
        <v>2658.904198198</v>
      </c>
      <c r="F521" s="83" t="n">
        <f aca="false">Calculos!$B$509*Calculos!$B$502*Calculos!$F$519</f>
        <v>2738.67132414394</v>
      </c>
      <c r="G521" s="83" t="n">
        <f aca="false">Calculos!$B$509*Calculos!$B$502*Calculos!$G$519</f>
        <v>2820.83146386826</v>
      </c>
    </row>
    <row r="522" customFormat="false" ht="12.8" hidden="false" customHeight="false" outlineLevel="0" collapsed="false">
      <c r="A522" s="0" t="s">
        <v>317</v>
      </c>
      <c r="B522" s="83"/>
      <c r="C522" s="83" t="n">
        <f aca="false">Calculos!$C$518*Calculos!$C$520</f>
        <v>82228608</v>
      </c>
      <c r="D522" s="83" t="n">
        <f aca="false">Calculos!$D$518*Calculos!$D$520</f>
        <v>84695466.24</v>
      </c>
      <c r="E522" s="83" t="n">
        <f aca="false">Calculos!$E$518*Calculos!$E$520</f>
        <v>87236330.2272</v>
      </c>
      <c r="F522" s="83" t="n">
        <f aca="false">Calculos!$F$518*Calculos!$F$520</f>
        <v>89853420.134016</v>
      </c>
      <c r="G522" s="83" t="n">
        <f aca="false">Calculos!$G$518*Calculos!$G$520</f>
        <v>92549022.7380365</v>
      </c>
    </row>
    <row r="523" customFormat="false" ht="12.8" hidden="false" customHeight="false" outlineLevel="0" collapsed="false">
      <c r="A523" s="0" t="s">
        <v>318</v>
      </c>
      <c r="B523" s="83"/>
      <c r="C523" s="83" t="n">
        <f aca="false">Calculos!$C$518*Calculos!$C$521</f>
        <v>39699351.9648</v>
      </c>
      <c r="D523" s="83" t="n">
        <f aca="false">Calculos!$D$518*Calculos!$D$521</f>
        <v>40890332.523744</v>
      </c>
      <c r="E523" s="83" t="n">
        <f aca="false">Calculos!$E$518*Calculos!$E$521</f>
        <v>42117042.4994563</v>
      </c>
      <c r="F523" s="83" t="n">
        <f aca="false">Calculos!$F$518*Calculos!$F$521</f>
        <v>43380553.77444</v>
      </c>
      <c r="G523" s="83" t="n">
        <f aca="false">Calculos!$G$518*Calculos!$G$521</f>
        <v>44681970.3876732</v>
      </c>
    </row>
    <row r="524" customFormat="false" ht="12.8" hidden="false" customHeight="false" outlineLevel="0" collapsed="false">
      <c r="A524" s="0" t="s">
        <v>319</v>
      </c>
      <c r="B524" s="83"/>
      <c r="C524" s="83" t="n">
        <f aca="false">Calculos!$B$510*12*Calculos!$B$503*Calculos!$C$519</f>
        <v>47382678</v>
      </c>
      <c r="D524" s="83" t="n">
        <f aca="false">Calculos!$B$510*12*Calculos!$B$503*Calculos!$D$519</f>
        <v>48804158.34</v>
      </c>
      <c r="E524" s="83" t="n">
        <f aca="false">Calculos!$B$510*12*Calculos!$B$503*Calculos!$E$519</f>
        <v>50268283.0902</v>
      </c>
      <c r="F524" s="83" t="n">
        <f aca="false">Calculos!$B$510*12*Calculos!$B$503*Calculos!$F$519</f>
        <v>51776331.582906</v>
      </c>
      <c r="G524" s="83" t="n">
        <f aca="false">Calculos!$B$510*12*Calculos!$B$503*Calculos!$G$519</f>
        <v>53329621.5303932</v>
      </c>
    </row>
    <row r="525" customFormat="false" ht="12.8" hidden="false" customHeight="false" outlineLevel="0" collapsed="false">
      <c r="A525" s="0" t="s">
        <v>320</v>
      </c>
      <c r="B525" s="83"/>
      <c r="C525" s="83" t="n">
        <f aca="false">Calculos!$C$522-Calculos!$C$523-Calculos!$C$524</f>
        <v>-4853421.96480001</v>
      </c>
      <c r="D525" s="83" t="n">
        <f aca="false">Calculos!$D$522-Calculos!$D$523-Calculos!$D$524</f>
        <v>-4999024.623744</v>
      </c>
      <c r="E525" s="83" t="n">
        <f aca="false">Calculos!$E$522-Calculos!$E$523-Calculos!$E$524</f>
        <v>-5148995.36245632</v>
      </c>
      <c r="F525" s="83" t="n">
        <f aca="false">Calculos!$F$522-Calculos!$F$523-Calculos!$F$524</f>
        <v>-5303465.22333002</v>
      </c>
      <c r="G525" s="83" t="n">
        <f aca="false">Calculos!$G$522-Calculos!$G$523-Calculos!$G$524</f>
        <v>-5462569.1800299</v>
      </c>
    </row>
    <row r="526" customFormat="false" ht="12.8" hidden="false" customHeight="false" outlineLevel="0" collapsed="false">
      <c r="A526" s="0" t="s">
        <v>321</v>
      </c>
      <c r="B526" s="83"/>
      <c r="C526" s="83" t="n">
        <f aca="false">Calculos!$B$513</f>
        <v>2718401.34325</v>
      </c>
      <c r="D526" s="83" t="n">
        <f aca="false">Calculos!$B$513</f>
        <v>2718401.34325</v>
      </c>
      <c r="E526" s="83" t="n">
        <f aca="false">Calculos!$B$513</f>
        <v>2718401.34325</v>
      </c>
      <c r="F526" s="83" t="n">
        <f aca="false">Calculos!$B$513</f>
        <v>2718401.34325</v>
      </c>
      <c r="G526" s="83" t="n">
        <f aca="false">Calculos!$B$513</f>
        <v>2718401.34325</v>
      </c>
    </row>
    <row r="527" customFormat="false" ht="12.8" hidden="false" customHeight="false" outlineLevel="0" collapsed="false">
      <c r="A527" s="0" t="s">
        <v>322</v>
      </c>
      <c r="B527" s="83"/>
      <c r="C527" s="83" t="n">
        <f aca="false">Calculos!$C$525-Calculos!$C$526</f>
        <v>-7571823.30805001</v>
      </c>
      <c r="D527" s="83" t="n">
        <f aca="false">Calculos!$D$525-Calculos!$D$526</f>
        <v>-7717425.966994</v>
      </c>
      <c r="E527" s="83" t="n">
        <f aca="false">Calculos!$E$525-Calculos!$E$526</f>
        <v>-7867396.70570632</v>
      </c>
      <c r="F527" s="83" t="n">
        <f aca="false">Calculos!$F$525-Calculos!$F$526</f>
        <v>-8021866.56658002</v>
      </c>
      <c r="G527" s="83" t="n">
        <f aca="false">Calculos!$G$525-Calculos!$G$526</f>
        <v>-8180970.5232799</v>
      </c>
    </row>
    <row r="528" customFormat="false" ht="12.8" hidden="false" customHeight="false" outlineLevel="0" collapsed="false">
      <c r="A528" s="0" t="s">
        <v>323</v>
      </c>
      <c r="B528" s="83"/>
      <c r="C528" s="83" t="n">
        <f aca="false">0</f>
        <v>0</v>
      </c>
      <c r="D528" s="83" t="n">
        <f aca="false">Calculos!$C$531</f>
        <v>7571823.30805001</v>
      </c>
      <c r="E528" s="83" t="n">
        <f aca="false">Calculos!$D$531</f>
        <v>15289249.275044</v>
      </c>
      <c r="F528" s="83" t="n">
        <f aca="false">Calculos!$E$531</f>
        <v>23156645.9807503</v>
      </c>
      <c r="G528" s="83" t="n">
        <f aca="false">Calculos!$F$531</f>
        <v>31178512.5473304</v>
      </c>
    </row>
    <row r="529" customFormat="false" ht="12.8" hidden="false" customHeight="false" outlineLevel="0" collapsed="false">
      <c r="A529" s="0" t="s">
        <v>324</v>
      </c>
      <c r="B529" s="83"/>
      <c r="C529" s="83" t="n">
        <f aca="false">MAX(0,Calculos!$C$527-Calculos!$C$528)</f>
        <v>0</v>
      </c>
      <c r="D529" s="83" t="n">
        <f aca="false">MAX(0,Calculos!$D$527-Calculos!$D$528)</f>
        <v>0</v>
      </c>
      <c r="E529" s="83" t="n">
        <f aca="false">MAX(0,Calculos!$E$527-Calculos!$E$528)</f>
        <v>0</v>
      </c>
      <c r="F529" s="83" t="n">
        <f aca="false">MAX(0,Calculos!$F$527-Calculos!$F$528)</f>
        <v>0</v>
      </c>
      <c r="G529" s="83" t="n">
        <f aca="false">MAX(0,Calculos!$G$527-Calculos!$G$528)</f>
        <v>0</v>
      </c>
    </row>
    <row r="530" customFormat="false" ht="12.8" hidden="false" customHeight="false" outlineLevel="0" collapsed="false">
      <c r="A530" s="0" t="s">
        <v>325</v>
      </c>
      <c r="B530" s="83"/>
      <c r="C530" s="83" t="n">
        <f aca="false">Calculos!$C$529*Inputs!$C$21</f>
        <v>0</v>
      </c>
      <c r="D530" s="83" t="n">
        <f aca="false">Calculos!$D$529*Inputs!$C$22</f>
        <v>0</v>
      </c>
      <c r="E530" s="83" t="n">
        <f aca="false">Calculos!$E$529*Inputs!$C$23</f>
        <v>0</v>
      </c>
      <c r="F530" s="83" t="n">
        <f aca="false">Calculos!$F$529*Inputs!$C$24</f>
        <v>0</v>
      </c>
      <c r="G530" s="83" t="n">
        <f aca="false">Calculos!$G$529*Inputs!$C$25</f>
        <v>0</v>
      </c>
    </row>
    <row r="531" customFormat="false" ht="12.8" hidden="false" customHeight="false" outlineLevel="0" collapsed="false">
      <c r="A531" s="0" t="s">
        <v>326</v>
      </c>
      <c r="B531" s="83"/>
      <c r="C531" s="83" t="n">
        <f aca="false">MAX(0,Calculos!$C$528-Calculos!$C$527)</f>
        <v>7571823.30805001</v>
      </c>
      <c r="D531" s="83" t="n">
        <f aca="false">MAX(0,Calculos!$D$528-Calculos!$D$527)</f>
        <v>15289249.275044</v>
      </c>
      <c r="E531" s="83" t="n">
        <f aca="false">MAX(0,Calculos!$E$528-Calculos!$E$527)</f>
        <v>23156645.9807503</v>
      </c>
      <c r="F531" s="83" t="n">
        <f aca="false">MAX(0,Calculos!$F$528-Calculos!$F$527)</f>
        <v>31178512.5473304</v>
      </c>
      <c r="G531" s="83" t="n">
        <f aca="false">MAX(0,Calculos!$G$528-Calculos!$G$527)</f>
        <v>39359483.0706103</v>
      </c>
    </row>
    <row r="532" customFormat="false" ht="12.8" hidden="false" customHeight="false" outlineLevel="0" collapsed="false">
      <c r="A532" s="0" t="s">
        <v>327</v>
      </c>
      <c r="B532" s="83"/>
      <c r="C532" s="83" t="n">
        <f aca="false">Calculos!$C$522*Inputs!$C$47/365+Calculos!$C$523*Inputs!$C$48/365-Calculos!$C$523*Inputs!$C$49/365</f>
        <v>8389995.94375891</v>
      </c>
      <c r="D532" s="83" t="n">
        <f aca="false">Calculos!$D$522*Inputs!$C$47/365+Calculos!$D$523*Inputs!$C$48/365-Calculos!$D$523*Inputs!$C$49/365</f>
        <v>8641695.82207167</v>
      </c>
      <c r="E532" s="83" t="n">
        <f aca="false">Calculos!$E$522*Inputs!$C$47/365+Calculos!$E$523*Inputs!$C$48/365-Calculos!$E$523*Inputs!$C$49/365</f>
        <v>8900946.69673382</v>
      </c>
      <c r="F532" s="83" t="n">
        <f aca="false">Calculos!$F$522*Inputs!$C$47/365+Calculos!$F$523*Inputs!$C$48/365-Calculos!$F$523*Inputs!$C$49/365</f>
        <v>9167975.09763584</v>
      </c>
      <c r="G532" s="83" t="n">
        <f aca="false">Calculos!$G$522*Inputs!$C$47/365+Calculos!$G$523*Inputs!$C$48/365-Calculos!$G$523*Inputs!$C$49/365</f>
        <v>9443014.35056491</v>
      </c>
    </row>
    <row r="533" customFormat="false" ht="12.8" hidden="false" customHeight="false" outlineLevel="0" collapsed="false">
      <c r="A533" s="0" t="s">
        <v>328</v>
      </c>
      <c r="B533" s="83"/>
      <c r="C533" s="83" t="n">
        <f aca="false">Calculos!$C$532-Calculos!$C$532</f>
        <v>0</v>
      </c>
      <c r="D533" s="83" t="n">
        <f aca="false">Calculos!$D$532-Calculos!$C$532</f>
        <v>251699.878312767</v>
      </c>
      <c r="E533" s="83" t="n">
        <f aca="false">Calculos!$E$532-Calculos!$D$532</f>
        <v>259250.87466215</v>
      </c>
      <c r="F533" s="83" t="n">
        <f aca="false">Calculos!$F$532-Calculos!$E$532</f>
        <v>267028.400902016</v>
      </c>
      <c r="G533" s="83" t="n">
        <f aca="false">Calculos!$G$532-Calculos!$F$532</f>
        <v>275039.252929077</v>
      </c>
    </row>
    <row r="534" customFormat="false" ht="12.8" hidden="false" customHeight="false" outlineLevel="0" collapsed="false">
      <c r="A534" s="0" t="s">
        <v>329</v>
      </c>
      <c r="B534" s="83"/>
      <c r="C534" s="83" t="n">
        <f aca="false">0</f>
        <v>0</v>
      </c>
      <c r="D534" s="83" t="n">
        <f aca="false">0</f>
        <v>0</v>
      </c>
      <c r="E534" s="83" t="n">
        <f aca="false">0</f>
        <v>0</v>
      </c>
      <c r="F534" s="83" t="n">
        <f aca="false">0</f>
        <v>0</v>
      </c>
      <c r="G534" s="83" t="n">
        <f aca="false">Calculos!$B$514-MAX(0,(Calculos!$B$514-MAX(0,Calculos!$B$511-Calculos!$B$513*5)))*Inputs!$C$25+Calculos!$G$532+Calculos!$B$515</f>
        <v>13680855.6938149</v>
      </c>
    </row>
    <row r="535" customFormat="false" ht="12.8" hidden="false" customHeight="false" outlineLevel="0" collapsed="false">
      <c r="A535" s="0" t="s">
        <v>330</v>
      </c>
      <c r="B535" s="83" t="n">
        <f aca="false">-(Calculos!$B$512+Calculos!$B$515+Calculos!$C$532)</f>
        <v>-39593449.3762589</v>
      </c>
      <c r="C535" s="83" t="n">
        <f aca="false">Calculos!$C$525-Calculos!$C$530-Calculos!$C$533+Calculos!$C$534</f>
        <v>-4853421.96480001</v>
      </c>
      <c r="D535" s="83" t="n">
        <f aca="false">Calculos!$D$525-Calculos!$D$530-Calculos!$D$533+Calculos!$D$534</f>
        <v>-5250724.50205677</v>
      </c>
      <c r="E535" s="83" t="n">
        <f aca="false">Calculos!$E$525-Calculos!$E$530-Calculos!$E$533+Calculos!$E$534</f>
        <v>-5408246.23711847</v>
      </c>
      <c r="F535" s="83" t="n">
        <f aca="false">Calculos!$F$525-Calculos!$F$530-Calculos!$F$533+Calculos!$F$534</f>
        <v>-5570493.62423204</v>
      </c>
      <c r="G535" s="83" t="n">
        <f aca="false">Calculos!$G$525-Calculos!$G$530-Calculos!$G$533+Calculos!$G$534</f>
        <v>7943247.26085594</v>
      </c>
    </row>
    <row r="536" customFormat="false" ht="12.8" hidden="false" customHeight="false" outlineLevel="0" collapsed="false">
      <c r="A536" s="0" t="s">
        <v>331</v>
      </c>
      <c r="B536" s="83" t="n">
        <v>1</v>
      </c>
      <c r="C536" s="83" t="n">
        <f aca="false">1/(1+Inputs!$C$6)^1</f>
        <v>0.830151087497925</v>
      </c>
      <c r="D536" s="83" t="n">
        <f aca="false">1/(1+Inputs!$C$6)^2</f>
        <v>0.689150828073987</v>
      </c>
      <c r="E536" s="83" t="n">
        <f aca="false">1/(1+Inputs!$C$6)^3</f>
        <v>0.572099309375715</v>
      </c>
      <c r="F536" s="83" t="n">
        <f aca="false">1/(1+Inputs!$C$6)^4</f>
        <v>0.474928863835062</v>
      </c>
      <c r="G536" s="83" t="n">
        <f aca="false">1/(1+Inputs!$C$6)^5</f>
        <v>0.39426271279683</v>
      </c>
    </row>
    <row r="537" customFormat="false" ht="12.8" hidden="false" customHeight="false" outlineLevel="0" collapsed="false">
      <c r="A537" s="0" t="s">
        <v>332</v>
      </c>
      <c r="B537" s="83" t="n">
        <f aca="false">Calculos!$B$535</f>
        <v>-39593449.3762589</v>
      </c>
      <c r="C537" s="83" t="n">
        <f aca="false">Calculos!$C$535*Calculos!$C$536</f>
        <v>-4029073.52216504</v>
      </c>
      <c r="D537" s="83" t="n">
        <f aca="false">Calculos!$D$535*Calculos!$D$536</f>
        <v>-3618541.1385808</v>
      </c>
      <c r="E537" s="83" t="n">
        <f aca="false">Calculos!$E$535*Calculos!$E$536</f>
        <v>-3094053.93718929</v>
      </c>
      <c r="F537" s="83" t="n">
        <f aca="false">Calculos!$F$535*Calculos!$F$536</f>
        <v>-2645588.20795698</v>
      </c>
      <c r="G537" s="83" t="n">
        <f aca="false">Calculos!$G$535*Calculos!$G$536</f>
        <v>3131726.21348105</v>
      </c>
    </row>
    <row r="538" customFormat="false" ht="12.8" hidden="false" customHeight="false" outlineLevel="0" collapsed="false">
      <c r="A538" s="0" t="s">
        <v>333</v>
      </c>
      <c r="B538" s="83" t="n">
        <f aca="false">Calculos!$B$535</f>
        <v>-39593449.3762589</v>
      </c>
      <c r="C538" s="83" t="n">
        <f aca="false">Calculos!$B$538+Calculos!$C$535</f>
        <v>-44446871.3410589</v>
      </c>
      <c r="D538" s="83" t="n">
        <f aca="false">Calculos!$C$538+Calculos!$D$535</f>
        <v>-49697595.8431157</v>
      </c>
      <c r="E538" s="83" t="n">
        <f aca="false">Calculos!$D$538+Calculos!$E$535</f>
        <v>-55105842.0802342</v>
      </c>
      <c r="F538" s="83" t="n">
        <f aca="false">Calculos!$E$538+Calculos!$F$535</f>
        <v>-60676335.7044662</v>
      </c>
      <c r="G538" s="83" t="n">
        <f aca="false">Calculos!$F$538+Calculos!$G$535</f>
        <v>-52733088.4436103</v>
      </c>
    </row>
    <row r="539" customFormat="false" ht="12.8" hidden="false" customHeight="false" outlineLevel="0" collapsed="false">
      <c r="A539" s="0" t="s">
        <v>334</v>
      </c>
      <c r="B539" s="83" t="n">
        <f aca="false">Calculos!$B$537</f>
        <v>-39593449.3762589</v>
      </c>
      <c r="C539" s="83" t="n">
        <f aca="false">Calculos!$B$539+Calculos!$C$537</f>
        <v>-43622522.8984239</v>
      </c>
      <c r="D539" s="83" t="n">
        <f aca="false">Calculos!$C$539+Calculos!$D$537</f>
        <v>-47241064.0370047</v>
      </c>
      <c r="E539" s="83" t="n">
        <f aca="false">Calculos!$D$539+Calculos!$E$537</f>
        <v>-50335117.974194</v>
      </c>
      <c r="F539" s="83" t="n">
        <f aca="false">Calculos!$E$539+Calculos!$F$537</f>
        <v>-52980706.182151</v>
      </c>
      <c r="G539" s="83" t="n">
        <f aca="false">Calculos!$F$539+Calculos!$G$537</f>
        <v>-49848979.9686699</v>
      </c>
    </row>
    <row r="541" customFormat="false" ht="12.8" hidden="false" customHeight="false" outlineLevel="0" collapsed="false">
      <c r="A541" s="0" t="s">
        <v>3</v>
      </c>
      <c r="B541" s="83" t="n">
        <f aca="false">-Calculos!$B$535</f>
        <v>39593449.3762589</v>
      </c>
    </row>
    <row r="542" customFormat="false" ht="12.8" hidden="false" customHeight="false" outlineLevel="0" collapsed="false">
      <c r="A542" s="0" t="s">
        <v>7</v>
      </c>
      <c r="B542" s="83" t="n">
        <f aca="false">SUM(Calculos!$B$537:$G$537)</f>
        <v>-49848979.96867</v>
      </c>
    </row>
    <row r="543" customFormat="false" ht="12.8" hidden="false" customHeight="false" outlineLevel="0" collapsed="false">
      <c r="A543" s="0" t="s">
        <v>9</v>
      </c>
      <c r="B543" s="84" t="e">
        <f aca="false">IFERROR(IRR(Calculos!$B$535:$G$535),NA())</f>
        <v>#N/A</v>
      </c>
    </row>
    <row r="544" customFormat="false" ht="12.8" hidden="false" customHeight="false" outlineLevel="0" collapsed="false">
      <c r="A544" s="0" t="s">
        <v>10</v>
      </c>
      <c r="B544" s="0" t="e">
        <f aca="false">IFERROR(IF(Calculos!$C$539&gt;=0,0+(-Calculos!$B$539/Calculos!$C$537),IF(Calculos!$D$539&gt;=0,1+(-Calculos!$C$539/Calculos!$D$537),IF(Calculos!$E$539&gt;=0,2+(-Calculos!$D$539/Calculos!$E$537),IF(Calculos!$F$539&gt;=0,3+(-Calculos!$E$539/Calculos!$F$537),IF(Calculos!$G$539&gt;=0,4+(-Calculos!$F$539/Calculos!$G$537),NA()))))),NA())</f>
        <v>#N/A</v>
      </c>
    </row>
    <row r="545" customFormat="false" ht="12.8" hidden="false" customHeight="false" outlineLevel="0" collapsed="false">
      <c r="A545" s="0" t="s">
        <v>12</v>
      </c>
      <c r="B545" s="0" t="n">
        <f aca="false">(Calculos!$C$537+Calculos!$D$537+Calculos!$E$537+Calculos!$F$537+Calculos!$G$537)/(-Calculos!$B$535)</f>
        <v>-0.259020892444913</v>
      </c>
    </row>
    <row r="546" customFormat="false" ht="12.8" hidden="false" customHeight="false" outlineLevel="0" collapsed="false">
      <c r="A546" s="0" t="s">
        <v>5</v>
      </c>
      <c r="B546" s="83" t="n">
        <f aca="false">-MIN(Calculos!$B$538:$G$538)</f>
        <v>60676335.7044662</v>
      </c>
    </row>
    <row r="547" customFormat="false" ht="12.8" hidden="false" customHeight="false" outlineLevel="0" collapsed="false">
      <c r="A547" s="0" t="s">
        <v>363</v>
      </c>
      <c r="B547" s="0" t="n">
        <f aca="false">IF((Calculos!$C$520-Calculos!$C$521)&gt;0,Calculos!$C$524/(Calculos!$C$520-Calculos!$C$521)/12,NA())</f>
        <v>1470.63788062113</v>
      </c>
    </row>
    <row r="548" customFormat="false" ht="12.8" hidden="false" customHeight="false" outlineLevel="0" collapsed="false">
      <c r="A548" s="0" t="s">
        <v>364</v>
      </c>
      <c r="B548" s="0" t="n">
        <f aca="false">IF(AND(Inputs!$C$51&gt;0,Inputs!$C$52&gt;0),Inputs!$C$51*Inputs!$C$52*12,NA())</f>
        <v>15840</v>
      </c>
    </row>
    <row r="549" customFormat="false" ht="12.8" hidden="false" customHeight="false" outlineLevel="0" collapsed="false">
      <c r="A549" s="0" t="s">
        <v>365</v>
      </c>
      <c r="B549" s="0" t="n">
        <f aca="false">IFERROR(Calculos!$G$518/Calculos!$B$548,NA())</f>
        <v>1</v>
      </c>
    </row>
    <row r="550" customFormat="false" ht="12.8" hidden="false" customHeight="false" outlineLevel="0" collapsed="false">
      <c r="A550" s="0" t="s">
        <v>366</v>
      </c>
      <c r="B550" s="0" t="n">
        <f aca="false">IFERROR(Calculos!$B$547*12/Calculos!$B$548,NA())</f>
        <v>1.11411960653116</v>
      </c>
    </row>
    <row r="551" customFormat="false" ht="12.8" hidden="false" customHeight="false" outlineLevel="0" collapsed="false">
      <c r="A551" s="0" t="s">
        <v>367</v>
      </c>
      <c r="B551" s="0" t="n">
        <f aca="false">IFERROR(Calculos!$B$542/Calculos!$B$546,NA())</f>
        <v>-0.821555543687862</v>
      </c>
    </row>
    <row r="554" customFormat="false" ht="12.8" hidden="false" customHeight="false" outlineLevel="0" collapsed="false">
      <c r="A554" s="81" t="s">
        <v>377</v>
      </c>
      <c r="B554" s="81"/>
      <c r="C554" s="81"/>
      <c r="D554" s="81"/>
      <c r="E554" s="81"/>
      <c r="F554" s="81"/>
      <c r="G554" s="81"/>
    </row>
    <row r="555" customFormat="false" ht="12.8" hidden="false" customHeight="false" outlineLevel="0" collapsed="false">
      <c r="A555" s="0" t="s">
        <v>316</v>
      </c>
      <c r="B555" s="85" t="n">
        <f aca="false">Inputs!$C$85</f>
        <v>0.72</v>
      </c>
    </row>
    <row r="556" customFormat="false" ht="12.8" hidden="false" customHeight="false" outlineLevel="0" collapsed="false">
      <c r="A556" s="0" t="s">
        <v>315</v>
      </c>
      <c r="B556" s="82" t="n">
        <f aca="false">Inputs!$C$88</f>
        <v>1</v>
      </c>
    </row>
    <row r="557" customFormat="false" ht="12.8" hidden="false" customHeight="false" outlineLevel="0" collapsed="false">
      <c r="A557" s="0" t="s">
        <v>348</v>
      </c>
      <c r="B557" s="0" t="n">
        <f aca="false">1</f>
        <v>1</v>
      </c>
    </row>
    <row r="558" customFormat="false" ht="12.8" hidden="false" customHeight="false" outlineLevel="0" collapsed="false">
      <c r="A558" s="0" t="s">
        <v>349</v>
      </c>
      <c r="B558" s="0" t="n">
        <f aca="false">1</f>
        <v>1</v>
      </c>
    </row>
    <row r="559" customFormat="false" ht="12.8" hidden="false" customHeight="false" outlineLevel="0" collapsed="false">
      <c r="A559" s="0" t="s">
        <v>350</v>
      </c>
      <c r="B559" s="0" t="n">
        <f aca="false">1</f>
        <v>1</v>
      </c>
    </row>
    <row r="561" customFormat="false" ht="12.8" hidden="false" customHeight="false" outlineLevel="0" collapsed="false">
      <c r="A561" s="0" t="s">
        <v>351</v>
      </c>
      <c r="B561" s="83" t="n">
        <f aca="false">IF(Inputs!$C$61&gt;0,Inputs!$C$61,Inputs!$C$53+Inputs!$C$54+Inputs!$C$55+Inputs!$C$56+Inputs!$C$57+Inputs!$C$58+Inputs!$C$59+Inputs!$C$60)</f>
        <v>10120237</v>
      </c>
    </row>
    <row r="562" customFormat="false" ht="12.8" hidden="false" customHeight="false" outlineLevel="0" collapsed="false">
      <c r="A562" s="0" t="s">
        <v>352</v>
      </c>
      <c r="B562" s="83" t="n">
        <f aca="false">Calculos!$B$561*Inputs!$C$62</f>
        <v>1518035.55</v>
      </c>
    </row>
    <row r="563" customFormat="false" ht="12.8" hidden="false" customHeight="false" outlineLevel="0" collapsed="false">
      <c r="A563" s="0" t="s">
        <v>353</v>
      </c>
      <c r="B563" s="83" t="n">
        <f aca="false">IF(Inputs!$C$39&gt;0,Inputs!$C$39,Inputs!$C$37*Inputs!$C$38)</f>
        <v>759720</v>
      </c>
    </row>
    <row r="564" customFormat="false" ht="12.8" hidden="false" customHeight="false" outlineLevel="0" collapsed="false">
      <c r="A564" s="0" t="s">
        <v>354</v>
      </c>
      <c r="B564" s="83" t="n">
        <f aca="false">((Inputs!$C$26*Inputs!$C$34+Inputs!$C$27*Inputs!$C$35+Inputs!$C$28*Inputs!$C$36+Inputs!$C$29)*(1+Inputs!$C$33)+Inputs!$C$30+Inputs!$C$31+Inputs!$C$32)</f>
        <v>2433.274</v>
      </c>
    </row>
    <row r="565" customFormat="false" ht="12.8" hidden="false" customHeight="false" outlineLevel="0" collapsed="false">
      <c r="A565" s="0" t="s">
        <v>355</v>
      </c>
      <c r="B565" s="83" t="n">
        <f aca="false">(Calculos!$B$563+IF(Inputs!$C$50&gt;0,Inputs!$C$50,Inputs!$C$40*Inputs!$C$41)+Inputs!$C$42+Inputs!$C$43+Inputs!$C$44+Inputs!$C$45+Inputs!$C$46)</f>
        <v>3833550</v>
      </c>
    </row>
    <row r="566" customFormat="false" ht="12.8" hidden="false" customHeight="false" outlineLevel="0" collapsed="false">
      <c r="A566" s="0" t="s">
        <v>356</v>
      </c>
      <c r="B566" s="83" t="n">
        <f aca="false">(Calculos!$B$561+Calculos!$B$562+Inputs!$C$63)*(1+Inputs!$C$66)*Calculos!$B$559</f>
        <v>27184013.4325</v>
      </c>
    </row>
    <row r="567" customFormat="false" ht="12.8" hidden="false" customHeight="false" outlineLevel="0" collapsed="false">
      <c r="A567" s="0" t="s">
        <v>357</v>
      </c>
      <c r="B567" s="83" t="n">
        <f aca="false">Calculos!$B$566+(Inputs!$C$64+Inputs!$C$65)*Calculos!$B$559</f>
        <v>29684013.4325</v>
      </c>
    </row>
    <row r="568" customFormat="false" ht="12.8" hidden="false" customHeight="false" outlineLevel="0" collapsed="false">
      <c r="A568" s="0" t="s">
        <v>358</v>
      </c>
      <c r="B568" s="83" t="n">
        <f aca="false">Calculos!$B$566/Inputs!$C$68</f>
        <v>2718401.34325</v>
      </c>
    </row>
    <row r="569" customFormat="false" ht="12.8" hidden="false" customHeight="false" outlineLevel="0" collapsed="false">
      <c r="A569" s="0" t="s">
        <v>359</v>
      </c>
      <c r="B569" s="83" t="n">
        <f aca="false">Calculos!$B$566*Inputs!$C$69</f>
        <v>2718401.34325</v>
      </c>
    </row>
    <row r="570" customFormat="false" ht="12.8" hidden="false" customHeight="false" outlineLevel="0" collapsed="false">
      <c r="A570" s="0" t="s">
        <v>360</v>
      </c>
      <c r="B570" s="83" t="n">
        <f aca="false">Calculos!$B$563*Inputs!$C$67</f>
        <v>1519440</v>
      </c>
    </row>
    <row r="572" customFormat="false" ht="18.45" hidden="false" customHeight="true" outlineLevel="0" collapsed="false">
      <c r="A572" s="45" t="s">
        <v>294</v>
      </c>
      <c r="B572" s="45" t="s">
        <v>309</v>
      </c>
      <c r="C572" s="45" t="s">
        <v>310</v>
      </c>
      <c r="D572" s="45" t="s">
        <v>311</v>
      </c>
      <c r="E572" s="45" t="s">
        <v>312</v>
      </c>
      <c r="F572" s="45" t="s">
        <v>313</v>
      </c>
      <c r="G572" s="45" t="s">
        <v>314</v>
      </c>
    </row>
    <row r="573" customFormat="false" ht="12.8" hidden="false" customHeight="false" outlineLevel="0" collapsed="false">
      <c r="A573" s="0" t="s">
        <v>315</v>
      </c>
      <c r="C573" s="0" t="n">
        <f aca="false">IF(AND(Inputs!$C$51&gt;0,Inputs!$C$52&gt;0),MIN((IF(Inputs!$C$11&gt;0,Inputs!$C$11*12,Inputs!$C$12))*Calculos!$B$556,Inputs!$C$51*Inputs!$C$52*12),(IF(Inputs!$C$11&gt;0,Inputs!$C$11*12,Inputs!$C$12))*Calculos!$B$556)</f>
        <v>15840</v>
      </c>
      <c r="D573" s="0" t="n">
        <f aca="false">IF(AND(Inputs!$C$51&gt;0,Inputs!$C$52&gt;0),MIN((IF(Inputs!$C$11&gt;0,Inputs!$C$11*12,Inputs!$C$12)*IF(Inputs!$C$17&gt;0,Inputs!$C$17,Inputs!$C$13/Inputs!$C$12))*Calculos!$B$556,Inputs!$C$51*Inputs!$C$52*12),(IF(Inputs!$C$11&gt;0,Inputs!$C$11*12,Inputs!$C$12)*IF(Inputs!$C$17&gt;0,Inputs!$C$17,Inputs!$C$13/Inputs!$C$12))*Calculos!$B$556)</f>
        <v>15840</v>
      </c>
      <c r="E573" s="0" t="n">
        <f aca="false">IF(AND(Inputs!$C$51&gt;0,Inputs!$C$52&gt;0),MIN((IF(Inputs!$C$11&gt;0,Inputs!$C$11*12,Inputs!$C$12)*IF(Inputs!$C$18&gt;0,Inputs!$C$18,Inputs!$C$14/Inputs!$C$12))*Calculos!$B$556,Inputs!$C$51*Inputs!$C$52*12),(IF(Inputs!$C$11&gt;0,Inputs!$C$11*12,Inputs!$C$12)*IF(Inputs!$C$18&gt;0,Inputs!$C$18,Inputs!$C$14/Inputs!$C$12))*Calculos!$B$556)</f>
        <v>15840</v>
      </c>
      <c r="F573" s="0" t="n">
        <f aca="false">IF(AND(Inputs!$C$51&gt;0,Inputs!$C$52&gt;0),MIN((IF(Inputs!$C$11&gt;0,Inputs!$C$11*12,Inputs!$C$12)*IF(Inputs!$C$19&gt;0,Inputs!$C$19,Inputs!$C$15/Inputs!$C$12))*Calculos!$B$556,Inputs!$C$51*Inputs!$C$52*12),(IF(Inputs!$C$11&gt;0,Inputs!$C$11*12,Inputs!$C$12)*IF(Inputs!$C$19&gt;0,Inputs!$C$19,Inputs!$C$15/Inputs!$C$12))*Calculos!$B$556)</f>
        <v>15840</v>
      </c>
      <c r="G573" s="0" t="n">
        <f aca="false">IF(AND(Inputs!$C$51&gt;0,Inputs!$C$52&gt;0),MIN((IF(Inputs!$C$11&gt;0,Inputs!$C$11*12,Inputs!$C$12)*IF(Inputs!$C$20&gt;0,Inputs!$C$20,Inputs!$C$16/Inputs!$C$12))*Calculos!$B$556,Inputs!$C$51*Inputs!$C$52*12),(IF(Inputs!$C$11&gt;0,Inputs!$C$11*12,Inputs!$C$12)*IF(Inputs!$C$20&gt;0,Inputs!$C$20,Inputs!$C$16/Inputs!$C$12))*Calculos!$B$556)</f>
        <v>15840</v>
      </c>
    </row>
    <row r="574" customFormat="false" ht="12.8" hidden="false" customHeight="false" outlineLevel="0" collapsed="false">
      <c r="A574" s="0" t="s">
        <v>361</v>
      </c>
      <c r="C574" s="0" t="n">
        <f aca="false">(1+Inputs!$C$7)^1</f>
        <v>1.03</v>
      </c>
      <c r="D574" s="0" t="n">
        <f aca="false">(1+Inputs!$C$7)^2</f>
        <v>1.0609</v>
      </c>
      <c r="E574" s="0" t="n">
        <f aca="false">(1+Inputs!$C$7)^3</f>
        <v>1.092727</v>
      </c>
      <c r="F574" s="0" t="n">
        <f aca="false">(1+Inputs!$C$7)^4</f>
        <v>1.12550881</v>
      </c>
      <c r="G574" s="0" t="n">
        <f aca="false">(1+Inputs!$C$7)^5</f>
        <v>1.1592740743</v>
      </c>
    </row>
    <row r="575" customFormat="false" ht="12.8" hidden="false" customHeight="false" outlineLevel="0" collapsed="false">
      <c r="A575" s="0" t="s">
        <v>316</v>
      </c>
      <c r="B575" s="83"/>
      <c r="C575" s="83" t="n">
        <f aca="false">Inputs!$C$10*Calculos!$B$555*Calculos!$C$574</f>
        <v>3114.72</v>
      </c>
      <c r="D575" s="83" t="n">
        <f aca="false">Inputs!$C$10*Calculos!$B$555*Calculos!$D$574</f>
        <v>3208.1616</v>
      </c>
      <c r="E575" s="83" t="n">
        <f aca="false">Inputs!$C$10*Calculos!$B$555*Calculos!$E$574</f>
        <v>3304.406448</v>
      </c>
      <c r="F575" s="83" t="n">
        <f aca="false">Inputs!$C$10*Calculos!$B$555*Calculos!$F$574</f>
        <v>3403.53864144</v>
      </c>
      <c r="G575" s="83" t="n">
        <f aca="false">Inputs!$C$10*Calculos!$B$555*Calculos!$G$574</f>
        <v>3505.6448006832</v>
      </c>
    </row>
    <row r="576" customFormat="false" ht="12.8" hidden="false" customHeight="false" outlineLevel="0" collapsed="false">
      <c r="A576" s="0" t="s">
        <v>362</v>
      </c>
      <c r="B576" s="83"/>
      <c r="C576" s="83" t="n">
        <f aca="false">Calculos!$B$564*Calculos!$B$557*Calculos!$C$574</f>
        <v>2506.27222</v>
      </c>
      <c r="D576" s="83" t="n">
        <f aca="false">Calculos!$B$564*Calculos!$B$557*Calculos!$D$574</f>
        <v>2581.4603866</v>
      </c>
      <c r="E576" s="83" t="n">
        <f aca="false">Calculos!$B$564*Calculos!$B$557*Calculos!$E$574</f>
        <v>2658.904198198</v>
      </c>
      <c r="F576" s="83" t="n">
        <f aca="false">Calculos!$B$564*Calculos!$B$557*Calculos!$F$574</f>
        <v>2738.67132414394</v>
      </c>
      <c r="G576" s="83" t="n">
        <f aca="false">Calculos!$B$564*Calculos!$B$557*Calculos!$G$574</f>
        <v>2820.83146386826</v>
      </c>
    </row>
    <row r="577" customFormat="false" ht="12.8" hidden="false" customHeight="false" outlineLevel="0" collapsed="false">
      <c r="A577" s="0" t="s">
        <v>317</v>
      </c>
      <c r="B577" s="83"/>
      <c r="C577" s="83" t="n">
        <f aca="false">Calculos!$C$573*Calculos!$C$575</f>
        <v>49337164.8</v>
      </c>
      <c r="D577" s="83" t="n">
        <f aca="false">Calculos!$D$573*Calculos!$D$575</f>
        <v>50817279.744</v>
      </c>
      <c r="E577" s="83" t="n">
        <f aca="false">Calculos!$E$573*Calculos!$E$575</f>
        <v>52341798.13632</v>
      </c>
      <c r="F577" s="83" t="n">
        <f aca="false">Calculos!$F$573*Calculos!$F$575</f>
        <v>53912052.0804096</v>
      </c>
      <c r="G577" s="83" t="n">
        <f aca="false">Calculos!$G$573*Calculos!$G$575</f>
        <v>55529413.6428219</v>
      </c>
    </row>
    <row r="578" customFormat="false" ht="12.8" hidden="false" customHeight="false" outlineLevel="0" collapsed="false">
      <c r="A578" s="0" t="s">
        <v>318</v>
      </c>
      <c r="B578" s="83"/>
      <c r="C578" s="83" t="n">
        <f aca="false">Calculos!$C$573*Calculos!$C$576</f>
        <v>39699351.9648</v>
      </c>
      <c r="D578" s="83" t="n">
        <f aca="false">Calculos!$D$573*Calculos!$D$576</f>
        <v>40890332.523744</v>
      </c>
      <c r="E578" s="83" t="n">
        <f aca="false">Calculos!$E$573*Calculos!$E$576</f>
        <v>42117042.4994563</v>
      </c>
      <c r="F578" s="83" t="n">
        <f aca="false">Calculos!$F$573*Calculos!$F$576</f>
        <v>43380553.77444</v>
      </c>
      <c r="G578" s="83" t="n">
        <f aca="false">Calculos!$G$573*Calculos!$G$576</f>
        <v>44681970.3876732</v>
      </c>
    </row>
    <row r="579" customFormat="false" ht="12.8" hidden="false" customHeight="false" outlineLevel="0" collapsed="false">
      <c r="A579" s="0" t="s">
        <v>319</v>
      </c>
      <c r="B579" s="83"/>
      <c r="C579" s="83" t="n">
        <f aca="false">Calculos!$B$565*12*Calculos!$B$558*Calculos!$C$574</f>
        <v>47382678</v>
      </c>
      <c r="D579" s="83" t="n">
        <f aca="false">Calculos!$B$565*12*Calculos!$B$558*Calculos!$D$574</f>
        <v>48804158.34</v>
      </c>
      <c r="E579" s="83" t="n">
        <f aca="false">Calculos!$B$565*12*Calculos!$B$558*Calculos!$E$574</f>
        <v>50268283.0902</v>
      </c>
      <c r="F579" s="83" t="n">
        <f aca="false">Calculos!$B$565*12*Calculos!$B$558*Calculos!$F$574</f>
        <v>51776331.582906</v>
      </c>
      <c r="G579" s="83" t="n">
        <f aca="false">Calculos!$B$565*12*Calculos!$B$558*Calculos!$G$574</f>
        <v>53329621.5303932</v>
      </c>
    </row>
    <row r="580" customFormat="false" ht="12.8" hidden="false" customHeight="false" outlineLevel="0" collapsed="false">
      <c r="A580" s="0" t="s">
        <v>320</v>
      </c>
      <c r="B580" s="83"/>
      <c r="C580" s="83" t="n">
        <f aca="false">Calculos!$C$577-Calculos!$C$578-Calculos!$C$579</f>
        <v>-37744865.1648</v>
      </c>
      <c r="D580" s="83" t="n">
        <f aca="false">Calculos!$D$577-Calculos!$D$578-Calculos!$D$579</f>
        <v>-38877211.119744</v>
      </c>
      <c r="E580" s="83" t="n">
        <f aca="false">Calculos!$E$577-Calculos!$E$578-Calculos!$E$579</f>
        <v>-40043527.4533363</v>
      </c>
      <c r="F580" s="83" t="n">
        <f aca="false">Calculos!$F$577-Calculos!$F$578-Calculos!$F$579</f>
        <v>-41244833.2769364</v>
      </c>
      <c r="G580" s="83" t="n">
        <f aca="false">Calculos!$G$577-Calculos!$G$578-Calculos!$G$579</f>
        <v>-42482178.2752445</v>
      </c>
    </row>
    <row r="581" customFormat="false" ht="12.8" hidden="false" customHeight="false" outlineLevel="0" collapsed="false">
      <c r="A581" s="0" t="s">
        <v>321</v>
      </c>
      <c r="B581" s="83"/>
      <c r="C581" s="83" t="n">
        <f aca="false">Calculos!$B$568</f>
        <v>2718401.34325</v>
      </c>
      <c r="D581" s="83" t="n">
        <f aca="false">Calculos!$B$568</f>
        <v>2718401.34325</v>
      </c>
      <c r="E581" s="83" t="n">
        <f aca="false">Calculos!$B$568</f>
        <v>2718401.34325</v>
      </c>
      <c r="F581" s="83" t="n">
        <f aca="false">Calculos!$B$568</f>
        <v>2718401.34325</v>
      </c>
      <c r="G581" s="83" t="n">
        <f aca="false">Calculos!$B$568</f>
        <v>2718401.34325</v>
      </c>
    </row>
    <row r="582" customFormat="false" ht="12.8" hidden="false" customHeight="false" outlineLevel="0" collapsed="false">
      <c r="A582" s="0" t="s">
        <v>322</v>
      </c>
      <c r="B582" s="83"/>
      <c r="C582" s="83" t="n">
        <f aca="false">Calculos!$C$580-Calculos!$C$581</f>
        <v>-40463266.50805</v>
      </c>
      <c r="D582" s="83" t="n">
        <f aca="false">Calculos!$D$580-Calculos!$D$581</f>
        <v>-41595612.462994</v>
      </c>
      <c r="E582" s="83" t="n">
        <f aca="false">Calculos!$E$580-Calculos!$E$581</f>
        <v>-42761928.7965863</v>
      </c>
      <c r="F582" s="83" t="n">
        <f aca="false">Calculos!$F$580-Calculos!$F$581</f>
        <v>-43963234.6201864</v>
      </c>
      <c r="G582" s="83" t="n">
        <f aca="false">Calculos!$G$580-Calculos!$G$581</f>
        <v>-45200579.6184945</v>
      </c>
    </row>
    <row r="583" customFormat="false" ht="12.8" hidden="false" customHeight="false" outlineLevel="0" collapsed="false">
      <c r="A583" s="0" t="s">
        <v>323</v>
      </c>
      <c r="B583" s="83"/>
      <c r="C583" s="83" t="n">
        <f aca="false">0</f>
        <v>0</v>
      </c>
      <c r="D583" s="83" t="n">
        <f aca="false">Calculos!$C$586</f>
        <v>40463266.50805</v>
      </c>
      <c r="E583" s="83" t="n">
        <f aca="false">Calculos!$D$586</f>
        <v>82058878.971044</v>
      </c>
      <c r="F583" s="83" t="n">
        <f aca="false">Calculos!$E$586</f>
        <v>124820807.76763</v>
      </c>
      <c r="G583" s="83" t="n">
        <f aca="false">Calculos!$F$586</f>
        <v>168784042.387817</v>
      </c>
    </row>
    <row r="584" customFormat="false" ht="12.8" hidden="false" customHeight="false" outlineLevel="0" collapsed="false">
      <c r="A584" s="0" t="s">
        <v>324</v>
      </c>
      <c r="B584" s="83"/>
      <c r="C584" s="83" t="n">
        <f aca="false">MAX(0,Calculos!$C$582-Calculos!$C$583)</f>
        <v>0</v>
      </c>
      <c r="D584" s="83" t="n">
        <f aca="false">MAX(0,Calculos!$D$582-Calculos!$D$583)</f>
        <v>0</v>
      </c>
      <c r="E584" s="83" t="n">
        <f aca="false">MAX(0,Calculos!$E$582-Calculos!$E$583)</f>
        <v>0</v>
      </c>
      <c r="F584" s="83" t="n">
        <f aca="false">MAX(0,Calculos!$F$582-Calculos!$F$583)</f>
        <v>0</v>
      </c>
      <c r="G584" s="83" t="n">
        <f aca="false">MAX(0,Calculos!$G$582-Calculos!$G$583)</f>
        <v>0</v>
      </c>
    </row>
    <row r="585" customFormat="false" ht="12.8" hidden="false" customHeight="false" outlineLevel="0" collapsed="false">
      <c r="A585" s="0" t="s">
        <v>325</v>
      </c>
      <c r="B585" s="83"/>
      <c r="C585" s="83" t="n">
        <f aca="false">Calculos!$C$584*Inputs!$C$21</f>
        <v>0</v>
      </c>
      <c r="D585" s="83" t="n">
        <f aca="false">Calculos!$D$584*Inputs!$C$22</f>
        <v>0</v>
      </c>
      <c r="E585" s="83" t="n">
        <f aca="false">Calculos!$E$584*Inputs!$C$23</f>
        <v>0</v>
      </c>
      <c r="F585" s="83" t="n">
        <f aca="false">Calculos!$F$584*Inputs!$C$24</f>
        <v>0</v>
      </c>
      <c r="G585" s="83" t="n">
        <f aca="false">Calculos!$G$584*Inputs!$C$25</f>
        <v>0</v>
      </c>
    </row>
    <row r="586" customFormat="false" ht="12.8" hidden="false" customHeight="false" outlineLevel="0" collapsed="false">
      <c r="A586" s="0" t="s">
        <v>326</v>
      </c>
      <c r="B586" s="83"/>
      <c r="C586" s="83" t="n">
        <f aca="false">MAX(0,Calculos!$C$583-Calculos!$C$582)</f>
        <v>40463266.50805</v>
      </c>
      <c r="D586" s="83" t="n">
        <f aca="false">MAX(0,Calculos!$D$583-Calculos!$D$582)</f>
        <v>82058878.971044</v>
      </c>
      <c r="E586" s="83" t="n">
        <f aca="false">MAX(0,Calculos!$E$583-Calculos!$E$582)</f>
        <v>124820807.76763</v>
      </c>
      <c r="F586" s="83" t="n">
        <f aca="false">MAX(0,Calculos!$F$583-Calculos!$F$582)</f>
        <v>168784042.387817</v>
      </c>
      <c r="G586" s="83" t="n">
        <f aca="false">MAX(0,Calculos!$G$583-Calculos!$G$582)</f>
        <v>213984622.006311</v>
      </c>
    </row>
    <row r="587" customFormat="false" ht="12.8" hidden="false" customHeight="false" outlineLevel="0" collapsed="false">
      <c r="A587" s="0" t="s">
        <v>327</v>
      </c>
      <c r="B587" s="83"/>
      <c r="C587" s="83" t="n">
        <f aca="false">Calculos!$C$577*Inputs!$C$47/365+Calculos!$C$578*Inputs!$C$48/365-Calculos!$C$578*Inputs!$C$49/365</f>
        <v>5686589.65334795</v>
      </c>
      <c r="D587" s="83" t="n">
        <f aca="false">Calculos!$D$577*Inputs!$C$47/365+Calculos!$D$578*Inputs!$C$48/365-Calculos!$D$578*Inputs!$C$49/365</f>
        <v>5857187.34294838</v>
      </c>
      <c r="E587" s="83" t="n">
        <f aca="false">Calculos!$E$577*Inputs!$C$47/365+Calculos!$E$578*Inputs!$C$48/365-Calculos!$E$578*Inputs!$C$49/365</f>
        <v>6032902.96323684</v>
      </c>
      <c r="F587" s="83" t="n">
        <f aca="false">Calculos!$F$577*Inputs!$C$47/365+Calculos!$F$578*Inputs!$C$48/365-Calculos!$F$578*Inputs!$C$49/365</f>
        <v>6213890.05213394</v>
      </c>
      <c r="G587" s="83" t="n">
        <f aca="false">Calculos!$G$577*Inputs!$C$47/365+Calculos!$G$578*Inputs!$C$48/365-Calculos!$G$578*Inputs!$C$49/365</f>
        <v>6400306.75369796</v>
      </c>
    </row>
    <row r="588" customFormat="false" ht="12.8" hidden="false" customHeight="false" outlineLevel="0" collapsed="false">
      <c r="A588" s="0" t="s">
        <v>328</v>
      </c>
      <c r="B588" s="83"/>
      <c r="C588" s="83" t="n">
        <f aca="false">Calculos!$C$587-Calculos!$C$587</f>
        <v>0</v>
      </c>
      <c r="D588" s="83" t="n">
        <f aca="false">Calculos!$D$587-Calculos!$C$587</f>
        <v>170597.689600437</v>
      </c>
      <c r="E588" s="83" t="n">
        <f aca="false">Calculos!$E$587-Calculos!$D$587</f>
        <v>175715.620288451</v>
      </c>
      <c r="F588" s="83" t="n">
        <f aca="false">Calculos!$F$587-Calculos!$E$587</f>
        <v>180987.088897106</v>
      </c>
      <c r="G588" s="83" t="n">
        <f aca="false">Calculos!$G$587-Calculos!$F$587</f>
        <v>186416.701564018</v>
      </c>
    </row>
    <row r="589" customFormat="false" ht="12.8" hidden="false" customHeight="false" outlineLevel="0" collapsed="false">
      <c r="A589" s="0" t="s">
        <v>329</v>
      </c>
      <c r="B589" s="83"/>
      <c r="C589" s="83" t="n">
        <f aca="false">0</f>
        <v>0</v>
      </c>
      <c r="D589" s="83" t="n">
        <f aca="false">0</f>
        <v>0</v>
      </c>
      <c r="E589" s="83" t="n">
        <f aca="false">0</f>
        <v>0</v>
      </c>
      <c r="F589" s="83" t="n">
        <f aca="false">0</f>
        <v>0</v>
      </c>
      <c r="G589" s="83" t="n">
        <f aca="false">Calculos!$B$569-MAX(0,(Calculos!$B$569-MAX(0,Calculos!$B$566-Calculos!$B$568*5)))*Inputs!$C$25+Calculos!$G$587+Calculos!$B$570</f>
        <v>10638148.096948</v>
      </c>
    </row>
    <row r="590" customFormat="false" ht="12.8" hidden="false" customHeight="false" outlineLevel="0" collapsed="false">
      <c r="A590" s="0" t="s">
        <v>330</v>
      </c>
      <c r="B590" s="83" t="n">
        <f aca="false">-(Calculos!$B$567+Calculos!$B$570+Calculos!$C$587)</f>
        <v>-36890043.0858479</v>
      </c>
      <c r="C590" s="83" t="n">
        <f aca="false">Calculos!$C$580-Calculos!$C$585-Calculos!$C$588+Calculos!$C$589</f>
        <v>-37744865.1648</v>
      </c>
      <c r="D590" s="83" t="n">
        <f aca="false">Calculos!$D$580-Calculos!$D$585-Calculos!$D$588+Calculos!$D$589</f>
        <v>-39047808.8093444</v>
      </c>
      <c r="E590" s="83" t="n">
        <f aca="false">Calculos!$E$580-Calculos!$E$585-Calculos!$E$588+Calculos!$E$589</f>
        <v>-40219243.0736248</v>
      </c>
      <c r="F590" s="83" t="n">
        <f aca="false">Calculos!$F$580-Calculos!$F$585-Calculos!$F$588+Calculos!$F$589</f>
        <v>-41425820.3658335</v>
      </c>
      <c r="G590" s="83" t="n">
        <f aca="false">Calculos!$G$580-Calculos!$G$585-Calculos!$G$588+Calculos!$G$589</f>
        <v>-32030446.8798606</v>
      </c>
    </row>
    <row r="591" customFormat="false" ht="12.8" hidden="false" customHeight="false" outlineLevel="0" collapsed="false">
      <c r="A591" s="0" t="s">
        <v>331</v>
      </c>
      <c r="B591" s="83" t="n">
        <v>1</v>
      </c>
      <c r="C591" s="83" t="n">
        <f aca="false">1/(1+Inputs!$C$6)^1</f>
        <v>0.830151087497925</v>
      </c>
      <c r="D591" s="83" t="n">
        <f aca="false">1/(1+Inputs!$C$6)^2</f>
        <v>0.689150828073987</v>
      </c>
      <c r="E591" s="83" t="n">
        <f aca="false">1/(1+Inputs!$C$6)^3</f>
        <v>0.572099309375715</v>
      </c>
      <c r="F591" s="83" t="n">
        <f aca="false">1/(1+Inputs!$C$6)^4</f>
        <v>0.474928863835062</v>
      </c>
      <c r="G591" s="83" t="n">
        <f aca="false">1/(1+Inputs!$C$6)^5</f>
        <v>0.39426271279683</v>
      </c>
    </row>
    <row r="592" customFormat="false" ht="12.8" hidden="false" customHeight="false" outlineLevel="0" collapsed="false">
      <c r="A592" s="0" t="s">
        <v>332</v>
      </c>
      <c r="B592" s="83" t="n">
        <f aca="false">Calculos!$B$590</f>
        <v>-36890043.0858479</v>
      </c>
      <c r="C592" s="83" t="n">
        <f aca="false">Calculos!$C$590*Calculos!$C$591</f>
        <v>-31333940.8640213</v>
      </c>
      <c r="D592" s="83" t="n">
        <f aca="false">Calculos!$D$590*Calculos!$D$591</f>
        <v>-26909829.7754344</v>
      </c>
      <c r="E592" s="83" t="n">
        <f aca="false">Calculos!$E$590*Calculos!$E$591</f>
        <v>-23009401.1860348</v>
      </c>
      <c r="F592" s="83" t="n">
        <f aca="false">Calculos!$F$590*Calculos!$F$591</f>
        <v>-19674317.7997807</v>
      </c>
      <c r="G592" s="83" t="n">
        <f aca="false">Calculos!$G$590*Calculos!$G$591</f>
        <v>-12628410.8789486</v>
      </c>
    </row>
    <row r="593" customFormat="false" ht="12.8" hidden="false" customHeight="false" outlineLevel="0" collapsed="false">
      <c r="A593" s="0" t="s">
        <v>333</v>
      </c>
      <c r="B593" s="83" t="n">
        <f aca="false">Calculos!$B$590</f>
        <v>-36890043.0858479</v>
      </c>
      <c r="C593" s="83" t="n">
        <f aca="false">Calculos!$B$593+Calculos!$C$590</f>
        <v>-74634908.250648</v>
      </c>
      <c r="D593" s="83" t="n">
        <f aca="false">Calculos!$C$593+Calculos!$D$590</f>
        <v>-113682717.059992</v>
      </c>
      <c r="E593" s="83" t="n">
        <f aca="false">Calculos!$D$593+Calculos!$E$590</f>
        <v>-153901960.133617</v>
      </c>
      <c r="F593" s="83" t="n">
        <f aca="false">Calculos!$E$593+Calculos!$F$590</f>
        <v>-195327780.499451</v>
      </c>
      <c r="G593" s="83" t="n">
        <f aca="false">Calculos!$F$593+Calculos!$G$590</f>
        <v>-227358227.379311</v>
      </c>
    </row>
    <row r="594" customFormat="false" ht="12.8" hidden="false" customHeight="false" outlineLevel="0" collapsed="false">
      <c r="A594" s="0" t="s">
        <v>334</v>
      </c>
      <c r="B594" s="83" t="n">
        <f aca="false">Calculos!$B$592</f>
        <v>-36890043.0858479</v>
      </c>
      <c r="C594" s="83" t="n">
        <f aca="false">Calculos!$B$594+Calculos!$C$592</f>
        <v>-68223983.9498692</v>
      </c>
      <c r="D594" s="83" t="n">
        <f aca="false">Calculos!$C$594+Calculos!$D$592</f>
        <v>-95133813.7253036</v>
      </c>
      <c r="E594" s="83" t="n">
        <f aca="false">Calculos!$D$594+Calculos!$E$592</f>
        <v>-118143214.911338</v>
      </c>
      <c r="F594" s="83" t="n">
        <f aca="false">Calculos!$E$594+Calculos!$F$592</f>
        <v>-137817532.711119</v>
      </c>
      <c r="G594" s="83" t="n">
        <f aca="false">Calculos!$F$594+Calculos!$G$592</f>
        <v>-150445943.590068</v>
      </c>
    </row>
    <row r="596" customFormat="false" ht="12.8" hidden="false" customHeight="false" outlineLevel="0" collapsed="false">
      <c r="A596" s="0" t="s">
        <v>3</v>
      </c>
      <c r="B596" s="83" t="n">
        <f aca="false">-Calculos!$B$590</f>
        <v>36890043.0858479</v>
      </c>
    </row>
    <row r="597" customFormat="false" ht="12.8" hidden="false" customHeight="false" outlineLevel="0" collapsed="false">
      <c r="A597" s="0" t="s">
        <v>7</v>
      </c>
      <c r="B597" s="83" t="n">
        <f aca="false">SUM(Calculos!$B$592:$G$592)</f>
        <v>-150445943.590068</v>
      </c>
    </row>
    <row r="598" customFormat="false" ht="12.8" hidden="false" customHeight="false" outlineLevel="0" collapsed="false">
      <c r="A598" s="0" t="s">
        <v>9</v>
      </c>
      <c r="B598" s="84" t="e">
        <f aca="false">IFERROR(IRR(Calculos!$B$590:$G$590),NA())</f>
        <v>#N/A</v>
      </c>
    </row>
    <row r="599" customFormat="false" ht="12.8" hidden="false" customHeight="false" outlineLevel="0" collapsed="false">
      <c r="A599" s="0" t="s">
        <v>10</v>
      </c>
      <c r="B599" s="0" t="e">
        <f aca="false">IFERROR(IF(Calculos!$C$594&gt;=0,0+(-Calculos!$B$594/Calculos!$C$592),IF(Calculos!$D$594&gt;=0,1+(-Calculos!$C$594/Calculos!$D$592),IF(Calculos!$E$594&gt;=0,2+(-Calculos!$D$594/Calculos!$E$592),IF(Calculos!$F$594&gt;=0,3+(-Calculos!$E$594/Calculos!$F$592),IF(Calculos!$G$594&gt;=0,4+(-Calculos!$F$594/Calculos!$G$592),NA()))))),NA())</f>
        <v>#N/A</v>
      </c>
    </row>
    <row r="600" customFormat="false" ht="12.8" hidden="false" customHeight="false" outlineLevel="0" collapsed="false">
      <c r="A600" s="0" t="s">
        <v>12</v>
      </c>
      <c r="B600" s="0" t="n">
        <f aca="false">(Calculos!$C$592+Calculos!$D$592+Calculos!$E$592+Calculos!$F$592+Calculos!$G$592)/(-Calculos!$B$590)</f>
        <v>-3.07822629103361</v>
      </c>
    </row>
    <row r="601" customFormat="false" ht="12.8" hidden="false" customHeight="false" outlineLevel="0" collapsed="false">
      <c r="A601" s="0" t="s">
        <v>5</v>
      </c>
      <c r="B601" s="83" t="n">
        <f aca="false">-MIN(Calculos!$B$593:$G$593)</f>
        <v>227358227.379311</v>
      </c>
    </row>
    <row r="602" customFormat="false" ht="12.8" hidden="false" customHeight="false" outlineLevel="0" collapsed="false">
      <c r="A602" s="0" t="s">
        <v>363</v>
      </c>
      <c r="B602" s="0" t="n">
        <f aca="false">IF((Calculos!$C$575-Calculos!$C$576)&gt;0,Calculos!$C$579/(Calculos!$C$575-Calculos!$C$576)/12,NA())</f>
        <v>6489.55691809739</v>
      </c>
    </row>
    <row r="603" customFormat="false" ht="12.8" hidden="false" customHeight="false" outlineLevel="0" collapsed="false">
      <c r="A603" s="0" t="s">
        <v>364</v>
      </c>
      <c r="B603" s="0" t="n">
        <f aca="false">IF(AND(Inputs!$C$51&gt;0,Inputs!$C$52&gt;0),Inputs!$C$51*Inputs!$C$52*12,NA())</f>
        <v>15840</v>
      </c>
    </row>
    <row r="604" customFormat="false" ht="12.8" hidden="false" customHeight="false" outlineLevel="0" collapsed="false">
      <c r="A604" s="0" t="s">
        <v>365</v>
      </c>
      <c r="B604" s="0" t="n">
        <f aca="false">IFERROR(Calculos!$G$573/Calculos!$B$603,NA())</f>
        <v>1</v>
      </c>
    </row>
    <row r="605" customFormat="false" ht="12.8" hidden="false" customHeight="false" outlineLevel="0" collapsed="false">
      <c r="A605" s="0" t="s">
        <v>366</v>
      </c>
      <c r="B605" s="0" t="n">
        <f aca="false">IFERROR(Calculos!$B$602*12/Calculos!$B$603,NA())</f>
        <v>4.91633099855863</v>
      </c>
    </row>
    <row r="606" customFormat="false" ht="12.8" hidden="false" customHeight="false" outlineLevel="0" collapsed="false">
      <c r="A606" s="0" t="s">
        <v>367</v>
      </c>
      <c r="B606" s="0" t="n">
        <f aca="false">IFERROR(Calculos!$B$597/Calculos!$B$601,NA())</f>
        <v>-0.661713214974501</v>
      </c>
    </row>
    <row r="609" customFormat="false" ht="12.8" hidden="false" customHeight="false" outlineLevel="0" collapsed="false">
      <c r="A609" s="81" t="s">
        <v>378</v>
      </c>
      <c r="B609" s="81"/>
      <c r="C609" s="81"/>
      <c r="D609" s="81"/>
      <c r="E609" s="81"/>
      <c r="F609" s="81"/>
      <c r="G609" s="81"/>
    </row>
    <row r="610" customFormat="false" ht="12.8" hidden="false" customHeight="false" outlineLevel="0" collapsed="false">
      <c r="A610" s="0" t="s">
        <v>316</v>
      </c>
      <c r="B610" s="0" t="n">
        <f aca="false">1</f>
        <v>1</v>
      </c>
    </row>
    <row r="611" customFormat="false" ht="12.8" hidden="false" customHeight="false" outlineLevel="0" collapsed="false">
      <c r="A611" s="0" t="s">
        <v>315</v>
      </c>
      <c r="B611" s="82" t="n">
        <f aca="false">Inputs!$C$88</f>
        <v>1</v>
      </c>
    </row>
    <row r="612" customFormat="false" ht="12.8" hidden="false" customHeight="false" outlineLevel="0" collapsed="false">
      <c r="A612" s="0" t="s">
        <v>348</v>
      </c>
      <c r="B612" s="0" t="n">
        <f aca="false">1</f>
        <v>1</v>
      </c>
    </row>
    <row r="613" customFormat="false" ht="12.8" hidden="false" customHeight="false" outlineLevel="0" collapsed="false">
      <c r="A613" s="0" t="s">
        <v>349</v>
      </c>
      <c r="B613" s="0" t="n">
        <f aca="false">1</f>
        <v>1</v>
      </c>
    </row>
    <row r="614" customFormat="false" ht="12.8" hidden="false" customHeight="false" outlineLevel="0" collapsed="false">
      <c r="A614" s="0" t="s">
        <v>350</v>
      </c>
      <c r="B614" s="0" t="n">
        <f aca="false">1</f>
        <v>1</v>
      </c>
    </row>
    <row r="616" customFormat="false" ht="12.8" hidden="false" customHeight="false" outlineLevel="0" collapsed="false">
      <c r="A616" s="0" t="s">
        <v>351</v>
      </c>
      <c r="B616" s="83" t="n">
        <f aca="false">IF(Inputs!$C$61&gt;0,Inputs!$C$61,Inputs!$C$53+Inputs!$C$54+Inputs!$C$55+Inputs!$C$56+Inputs!$C$57+Inputs!$C$58+Inputs!$C$59+Inputs!$C$60)</f>
        <v>10120237</v>
      </c>
    </row>
    <row r="617" customFormat="false" ht="12.8" hidden="false" customHeight="false" outlineLevel="0" collapsed="false">
      <c r="A617" s="0" t="s">
        <v>352</v>
      </c>
      <c r="B617" s="83" t="n">
        <f aca="false">Calculos!$B$616*Inputs!$C$62</f>
        <v>1518035.55</v>
      </c>
    </row>
    <row r="618" customFormat="false" ht="12.8" hidden="false" customHeight="false" outlineLevel="0" collapsed="false">
      <c r="A618" s="0" t="s">
        <v>353</v>
      </c>
      <c r="B618" s="83" t="n">
        <f aca="false">IF(Inputs!$C$39&gt;0,Inputs!$C$39,Inputs!$C$37*Inputs!$C$38)</f>
        <v>759720</v>
      </c>
    </row>
    <row r="619" customFormat="false" ht="12.8" hidden="false" customHeight="false" outlineLevel="0" collapsed="false">
      <c r="A619" s="0" t="s">
        <v>354</v>
      </c>
      <c r="B619" s="83" t="n">
        <f aca="false">((Inputs!$C$26*Inputs!$C$34+Inputs!$C$27*Inputs!$C$35+Inputs!$C$28*Inputs!$C$36+Inputs!$C$29)*(1+Inputs!$C$33)+Inputs!$C$30+Inputs!$C$31+Inputs!$C$32)</f>
        <v>2433.274</v>
      </c>
    </row>
    <row r="620" customFormat="false" ht="12.8" hidden="false" customHeight="false" outlineLevel="0" collapsed="false">
      <c r="A620" s="0" t="s">
        <v>355</v>
      </c>
      <c r="B620" s="83" t="n">
        <f aca="false">(Calculos!$B$618+IF(Inputs!$C$50&gt;0,Inputs!$C$50,Inputs!$C$40*Inputs!$C$41)+Inputs!$C$42+Inputs!$C$43+Inputs!$C$44+Inputs!$C$45+Inputs!$C$46)</f>
        <v>3833550</v>
      </c>
    </row>
    <row r="621" customFormat="false" ht="12.8" hidden="false" customHeight="false" outlineLevel="0" collapsed="false">
      <c r="A621" s="0" t="s">
        <v>356</v>
      </c>
      <c r="B621" s="83" t="n">
        <f aca="false">(Calculos!$B$616+Calculos!$B$617+Inputs!$C$63)*(1+Inputs!$C$66)*Calculos!$B$614</f>
        <v>27184013.4325</v>
      </c>
    </row>
    <row r="622" customFormat="false" ht="12.8" hidden="false" customHeight="false" outlineLevel="0" collapsed="false">
      <c r="A622" s="0" t="s">
        <v>357</v>
      </c>
      <c r="B622" s="83" t="n">
        <f aca="false">Calculos!$B$621+(Inputs!$C$64+Inputs!$C$65)*Calculos!$B$614</f>
        <v>29684013.4325</v>
      </c>
    </row>
    <row r="623" customFormat="false" ht="12.8" hidden="false" customHeight="false" outlineLevel="0" collapsed="false">
      <c r="A623" s="0" t="s">
        <v>358</v>
      </c>
      <c r="B623" s="83" t="n">
        <f aca="false">Calculos!$B$621/Inputs!$C$68</f>
        <v>2718401.34325</v>
      </c>
    </row>
    <row r="624" customFormat="false" ht="12.8" hidden="false" customHeight="false" outlineLevel="0" collapsed="false">
      <c r="A624" s="0" t="s">
        <v>359</v>
      </c>
      <c r="B624" s="83" t="n">
        <f aca="false">Calculos!$B$621*Inputs!$C$69</f>
        <v>2718401.34325</v>
      </c>
    </row>
    <row r="625" customFormat="false" ht="12.8" hidden="false" customHeight="false" outlineLevel="0" collapsed="false">
      <c r="A625" s="0" t="s">
        <v>360</v>
      </c>
      <c r="B625" s="83" t="n">
        <f aca="false">Calculos!$B$618*Inputs!$C$67</f>
        <v>1519440</v>
      </c>
    </row>
    <row r="627" customFormat="false" ht="18.45" hidden="false" customHeight="true" outlineLevel="0" collapsed="false">
      <c r="A627" s="45" t="s">
        <v>294</v>
      </c>
      <c r="B627" s="45" t="s">
        <v>309</v>
      </c>
      <c r="C627" s="45" t="s">
        <v>310</v>
      </c>
      <c r="D627" s="45" t="s">
        <v>311</v>
      </c>
      <c r="E627" s="45" t="s">
        <v>312</v>
      </c>
      <c r="F627" s="45" t="s">
        <v>313</v>
      </c>
      <c r="G627" s="45" t="s">
        <v>314</v>
      </c>
    </row>
    <row r="628" customFormat="false" ht="12.8" hidden="false" customHeight="false" outlineLevel="0" collapsed="false">
      <c r="A628" s="0" t="s">
        <v>315</v>
      </c>
      <c r="C628" s="0" t="n">
        <f aca="false">IF(AND(Inputs!$C$51&gt;0,Inputs!$C$52&gt;0),MIN((IF(Inputs!$C$11&gt;0,Inputs!$C$11*12,Inputs!$C$12))*Calculos!$B$611,Inputs!$C$51*Inputs!$C$52*12),(IF(Inputs!$C$11&gt;0,Inputs!$C$11*12,Inputs!$C$12))*Calculos!$B$611)</f>
        <v>15840</v>
      </c>
      <c r="D628" s="0" t="n">
        <f aca="false">IF(AND(Inputs!$C$51&gt;0,Inputs!$C$52&gt;0),MIN((IF(Inputs!$C$11&gt;0,Inputs!$C$11*12,Inputs!$C$12)*IF(Inputs!$C$17&gt;0,Inputs!$C$17,Inputs!$C$13/Inputs!$C$12))*Calculos!$B$611,Inputs!$C$51*Inputs!$C$52*12),(IF(Inputs!$C$11&gt;0,Inputs!$C$11*12,Inputs!$C$12)*IF(Inputs!$C$17&gt;0,Inputs!$C$17,Inputs!$C$13/Inputs!$C$12))*Calculos!$B$611)</f>
        <v>15840</v>
      </c>
      <c r="E628" s="0" t="n">
        <f aca="false">IF(AND(Inputs!$C$51&gt;0,Inputs!$C$52&gt;0),MIN((IF(Inputs!$C$11&gt;0,Inputs!$C$11*12,Inputs!$C$12)*IF(Inputs!$C$18&gt;0,Inputs!$C$18,Inputs!$C$14/Inputs!$C$12))*Calculos!$B$611,Inputs!$C$51*Inputs!$C$52*12),(IF(Inputs!$C$11&gt;0,Inputs!$C$11*12,Inputs!$C$12)*IF(Inputs!$C$18&gt;0,Inputs!$C$18,Inputs!$C$14/Inputs!$C$12))*Calculos!$B$611)</f>
        <v>15840</v>
      </c>
      <c r="F628" s="0" t="n">
        <f aca="false">IF(AND(Inputs!$C$51&gt;0,Inputs!$C$52&gt;0),MIN((IF(Inputs!$C$11&gt;0,Inputs!$C$11*12,Inputs!$C$12)*IF(Inputs!$C$19&gt;0,Inputs!$C$19,Inputs!$C$15/Inputs!$C$12))*Calculos!$B$611,Inputs!$C$51*Inputs!$C$52*12),(IF(Inputs!$C$11&gt;0,Inputs!$C$11*12,Inputs!$C$12)*IF(Inputs!$C$19&gt;0,Inputs!$C$19,Inputs!$C$15/Inputs!$C$12))*Calculos!$B$611)</f>
        <v>15840</v>
      </c>
      <c r="G628" s="0" t="n">
        <f aca="false">IF(AND(Inputs!$C$51&gt;0,Inputs!$C$52&gt;0),MIN((IF(Inputs!$C$11&gt;0,Inputs!$C$11*12,Inputs!$C$12)*IF(Inputs!$C$20&gt;0,Inputs!$C$20,Inputs!$C$16/Inputs!$C$12))*Calculos!$B$611,Inputs!$C$51*Inputs!$C$52*12),(IF(Inputs!$C$11&gt;0,Inputs!$C$11*12,Inputs!$C$12)*IF(Inputs!$C$20&gt;0,Inputs!$C$20,Inputs!$C$16/Inputs!$C$12))*Calculos!$B$611)</f>
        <v>15840</v>
      </c>
    </row>
    <row r="629" customFormat="false" ht="12.8" hidden="false" customHeight="false" outlineLevel="0" collapsed="false">
      <c r="A629" s="0" t="s">
        <v>361</v>
      </c>
      <c r="C629" s="0" t="n">
        <f aca="false">(1+Inputs!$C$7)^1</f>
        <v>1.03</v>
      </c>
      <c r="D629" s="0" t="n">
        <f aca="false">(1+Inputs!$C$7)^2</f>
        <v>1.0609</v>
      </c>
      <c r="E629" s="0" t="n">
        <f aca="false">(1+Inputs!$C$7)^3</f>
        <v>1.092727</v>
      </c>
      <c r="F629" s="0" t="n">
        <f aca="false">(1+Inputs!$C$7)^4</f>
        <v>1.12550881</v>
      </c>
      <c r="G629" s="0" t="n">
        <f aca="false">(1+Inputs!$C$7)^5</f>
        <v>1.1592740743</v>
      </c>
    </row>
    <row r="630" customFormat="false" ht="12.8" hidden="false" customHeight="false" outlineLevel="0" collapsed="false">
      <c r="A630" s="0" t="s">
        <v>316</v>
      </c>
      <c r="B630" s="83"/>
      <c r="C630" s="83" t="n">
        <f aca="false">Inputs!$C$10*Calculos!$B$610*Calculos!$C$629</f>
        <v>4326</v>
      </c>
      <c r="D630" s="83" t="n">
        <f aca="false">Inputs!$C$10*Calculos!$B$610*Calculos!$D$629</f>
        <v>4455.78</v>
      </c>
      <c r="E630" s="83" t="n">
        <f aca="false">Inputs!$C$10*Calculos!$B$610*Calculos!$E$629</f>
        <v>4589.4534</v>
      </c>
      <c r="F630" s="83" t="n">
        <f aca="false">Inputs!$C$10*Calculos!$B$610*Calculos!$F$629</f>
        <v>4727.137002</v>
      </c>
      <c r="G630" s="83" t="n">
        <f aca="false">Inputs!$C$10*Calculos!$B$610*Calculos!$G$629</f>
        <v>4868.95111206</v>
      </c>
    </row>
    <row r="631" customFormat="false" ht="12.8" hidden="false" customHeight="false" outlineLevel="0" collapsed="false">
      <c r="A631" s="0" t="s">
        <v>362</v>
      </c>
      <c r="B631" s="83"/>
      <c r="C631" s="83" t="n">
        <f aca="false">Calculos!$B$619*Calculos!$B$612*Calculos!$C$629</f>
        <v>2506.27222</v>
      </c>
      <c r="D631" s="83" t="n">
        <f aca="false">Calculos!$B$619*Calculos!$B$612*Calculos!$D$629</f>
        <v>2581.4603866</v>
      </c>
      <c r="E631" s="83" t="n">
        <f aca="false">Calculos!$B$619*Calculos!$B$612*Calculos!$E$629</f>
        <v>2658.904198198</v>
      </c>
      <c r="F631" s="83" t="n">
        <f aca="false">Calculos!$B$619*Calculos!$B$612*Calculos!$F$629</f>
        <v>2738.67132414394</v>
      </c>
      <c r="G631" s="83" t="n">
        <f aca="false">Calculos!$B$619*Calculos!$B$612*Calculos!$G$629</f>
        <v>2820.83146386826</v>
      </c>
    </row>
    <row r="632" customFormat="false" ht="12.8" hidden="false" customHeight="false" outlineLevel="0" collapsed="false">
      <c r="A632" s="0" t="s">
        <v>317</v>
      </c>
      <c r="B632" s="83"/>
      <c r="C632" s="83" t="n">
        <f aca="false">Calculos!$C$628*Calculos!$C$630</f>
        <v>68523840</v>
      </c>
      <c r="D632" s="83" t="n">
        <f aca="false">Calculos!$D$628*Calculos!$D$630</f>
        <v>70579555.2</v>
      </c>
      <c r="E632" s="83" t="n">
        <f aca="false">Calculos!$E$628*Calculos!$E$630</f>
        <v>72696941.856</v>
      </c>
      <c r="F632" s="83" t="n">
        <f aca="false">Calculos!$F$628*Calculos!$F$630</f>
        <v>74877850.11168</v>
      </c>
      <c r="G632" s="83" t="n">
        <f aca="false">Calculos!$G$628*Calculos!$G$630</f>
        <v>77124185.6150304</v>
      </c>
    </row>
    <row r="633" customFormat="false" ht="12.8" hidden="false" customHeight="false" outlineLevel="0" collapsed="false">
      <c r="A633" s="0" t="s">
        <v>318</v>
      </c>
      <c r="B633" s="83"/>
      <c r="C633" s="83" t="n">
        <f aca="false">Calculos!$C$628*Calculos!$C$631</f>
        <v>39699351.9648</v>
      </c>
      <c r="D633" s="83" t="n">
        <f aca="false">Calculos!$D$628*Calculos!$D$631</f>
        <v>40890332.523744</v>
      </c>
      <c r="E633" s="83" t="n">
        <f aca="false">Calculos!$E$628*Calculos!$E$631</f>
        <v>42117042.4994563</v>
      </c>
      <c r="F633" s="83" t="n">
        <f aca="false">Calculos!$F$628*Calculos!$F$631</f>
        <v>43380553.77444</v>
      </c>
      <c r="G633" s="83" t="n">
        <f aca="false">Calculos!$G$628*Calculos!$G$631</f>
        <v>44681970.3876732</v>
      </c>
    </row>
    <row r="634" customFormat="false" ht="12.8" hidden="false" customHeight="false" outlineLevel="0" collapsed="false">
      <c r="A634" s="0" t="s">
        <v>319</v>
      </c>
      <c r="B634" s="83"/>
      <c r="C634" s="83" t="n">
        <f aca="false">Calculos!$B$620*12*Calculos!$B$613*Calculos!$C$629</f>
        <v>47382678</v>
      </c>
      <c r="D634" s="83" t="n">
        <f aca="false">Calculos!$B$620*12*Calculos!$B$613*Calculos!$D$629</f>
        <v>48804158.34</v>
      </c>
      <c r="E634" s="83" t="n">
        <f aca="false">Calculos!$B$620*12*Calculos!$B$613*Calculos!$E$629</f>
        <v>50268283.0902</v>
      </c>
      <c r="F634" s="83" t="n">
        <f aca="false">Calculos!$B$620*12*Calculos!$B$613*Calculos!$F$629</f>
        <v>51776331.582906</v>
      </c>
      <c r="G634" s="83" t="n">
        <f aca="false">Calculos!$B$620*12*Calculos!$B$613*Calculos!$G$629</f>
        <v>53329621.5303932</v>
      </c>
    </row>
    <row r="635" customFormat="false" ht="12.8" hidden="false" customHeight="false" outlineLevel="0" collapsed="false">
      <c r="A635" s="0" t="s">
        <v>320</v>
      </c>
      <c r="B635" s="83"/>
      <c r="C635" s="83" t="n">
        <f aca="false">Calculos!$C$632-Calculos!$C$633-Calculos!$C$634</f>
        <v>-18558189.9648</v>
      </c>
      <c r="D635" s="83" t="n">
        <f aca="false">Calculos!$D$632-Calculos!$D$633-Calculos!$D$634</f>
        <v>-19114935.663744</v>
      </c>
      <c r="E635" s="83" t="n">
        <f aca="false">Calculos!$E$632-Calculos!$E$633-Calculos!$E$634</f>
        <v>-19688383.7336563</v>
      </c>
      <c r="F635" s="83" t="n">
        <f aca="false">Calculos!$F$632-Calculos!$F$633-Calculos!$F$634</f>
        <v>-20279035.245666</v>
      </c>
      <c r="G635" s="83" t="n">
        <f aca="false">Calculos!$G$632-Calculos!$G$633-Calculos!$G$634</f>
        <v>-20887406.303036</v>
      </c>
    </row>
    <row r="636" customFormat="false" ht="12.8" hidden="false" customHeight="false" outlineLevel="0" collapsed="false">
      <c r="A636" s="0" t="s">
        <v>321</v>
      </c>
      <c r="B636" s="83"/>
      <c r="C636" s="83" t="n">
        <f aca="false">Calculos!$B$623</f>
        <v>2718401.34325</v>
      </c>
      <c r="D636" s="83" t="n">
        <f aca="false">Calculos!$B$623</f>
        <v>2718401.34325</v>
      </c>
      <c r="E636" s="83" t="n">
        <f aca="false">Calculos!$B$623</f>
        <v>2718401.34325</v>
      </c>
      <c r="F636" s="83" t="n">
        <f aca="false">Calculos!$B$623</f>
        <v>2718401.34325</v>
      </c>
      <c r="G636" s="83" t="n">
        <f aca="false">Calculos!$B$623</f>
        <v>2718401.34325</v>
      </c>
    </row>
    <row r="637" customFormat="false" ht="12.8" hidden="false" customHeight="false" outlineLevel="0" collapsed="false">
      <c r="A637" s="0" t="s">
        <v>322</v>
      </c>
      <c r="B637" s="83"/>
      <c r="C637" s="83" t="n">
        <f aca="false">Calculos!$C$635-Calculos!$C$636</f>
        <v>-21276591.30805</v>
      </c>
      <c r="D637" s="83" t="n">
        <f aca="false">Calculos!$D$635-Calculos!$D$636</f>
        <v>-21833337.006994</v>
      </c>
      <c r="E637" s="83" t="n">
        <f aca="false">Calculos!$E$635-Calculos!$E$636</f>
        <v>-22406785.0769063</v>
      </c>
      <c r="F637" s="83" t="n">
        <f aca="false">Calculos!$F$635-Calculos!$F$636</f>
        <v>-22997436.588916</v>
      </c>
      <c r="G637" s="83" t="n">
        <f aca="false">Calculos!$G$635-Calculos!$G$636</f>
        <v>-23605807.646286</v>
      </c>
    </row>
    <row r="638" customFormat="false" ht="12.8" hidden="false" customHeight="false" outlineLevel="0" collapsed="false">
      <c r="A638" s="0" t="s">
        <v>323</v>
      </c>
      <c r="B638" s="83"/>
      <c r="C638" s="83" t="n">
        <f aca="false">0</f>
        <v>0</v>
      </c>
      <c r="D638" s="83" t="n">
        <f aca="false">Calculos!$C$641</f>
        <v>21276591.30805</v>
      </c>
      <c r="E638" s="83" t="n">
        <f aca="false">Calculos!$D$641</f>
        <v>43109928.315044</v>
      </c>
      <c r="F638" s="83" t="n">
        <f aca="false">Calculos!$E$641</f>
        <v>65516713.3919503</v>
      </c>
      <c r="G638" s="83" t="n">
        <f aca="false">Calculos!$F$641</f>
        <v>88514149.9808663</v>
      </c>
    </row>
    <row r="639" customFormat="false" ht="12.8" hidden="false" customHeight="false" outlineLevel="0" collapsed="false">
      <c r="A639" s="0" t="s">
        <v>324</v>
      </c>
      <c r="B639" s="83"/>
      <c r="C639" s="83" t="n">
        <f aca="false">MAX(0,Calculos!$C$637-Calculos!$C$638)</f>
        <v>0</v>
      </c>
      <c r="D639" s="83" t="n">
        <f aca="false">MAX(0,Calculos!$D$637-Calculos!$D$638)</f>
        <v>0</v>
      </c>
      <c r="E639" s="83" t="n">
        <f aca="false">MAX(0,Calculos!$E$637-Calculos!$E$638)</f>
        <v>0</v>
      </c>
      <c r="F639" s="83" t="n">
        <f aca="false">MAX(0,Calculos!$F$637-Calculos!$F$638)</f>
        <v>0</v>
      </c>
      <c r="G639" s="83" t="n">
        <f aca="false">MAX(0,Calculos!$G$637-Calculos!$G$638)</f>
        <v>0</v>
      </c>
    </row>
    <row r="640" customFormat="false" ht="12.8" hidden="false" customHeight="false" outlineLevel="0" collapsed="false">
      <c r="A640" s="0" t="s">
        <v>325</v>
      </c>
      <c r="B640" s="83"/>
      <c r="C640" s="83" t="n">
        <f aca="false">Calculos!$C$639*Inputs!$C$21</f>
        <v>0</v>
      </c>
      <c r="D640" s="83" t="n">
        <f aca="false">Calculos!$D$639*Inputs!$C$22</f>
        <v>0</v>
      </c>
      <c r="E640" s="83" t="n">
        <f aca="false">Calculos!$E$639*Inputs!$C$23</f>
        <v>0</v>
      </c>
      <c r="F640" s="83" t="n">
        <f aca="false">Calculos!$F$639*Inputs!$C$24</f>
        <v>0</v>
      </c>
      <c r="G640" s="83" t="n">
        <f aca="false">Calculos!$G$639*Inputs!$C$25</f>
        <v>0</v>
      </c>
    </row>
    <row r="641" customFormat="false" ht="12.8" hidden="false" customHeight="false" outlineLevel="0" collapsed="false">
      <c r="A641" s="0" t="s">
        <v>326</v>
      </c>
      <c r="B641" s="83"/>
      <c r="C641" s="83" t="n">
        <f aca="false">MAX(0,Calculos!$C$638-Calculos!$C$637)</f>
        <v>21276591.30805</v>
      </c>
      <c r="D641" s="83" t="n">
        <f aca="false">MAX(0,Calculos!$D$638-Calculos!$D$637)</f>
        <v>43109928.315044</v>
      </c>
      <c r="E641" s="83" t="n">
        <f aca="false">MAX(0,Calculos!$E$638-Calculos!$E$637)</f>
        <v>65516713.3919503</v>
      </c>
      <c r="F641" s="83" t="n">
        <f aca="false">MAX(0,Calculos!$F$638-Calculos!$F$637)</f>
        <v>88514149.9808663</v>
      </c>
      <c r="G641" s="83" t="n">
        <f aca="false">MAX(0,Calculos!$G$638-Calculos!$G$637)</f>
        <v>112119957.627152</v>
      </c>
    </row>
    <row r="642" customFormat="false" ht="12.8" hidden="false" customHeight="false" outlineLevel="0" collapsed="false">
      <c r="A642" s="0" t="s">
        <v>327</v>
      </c>
      <c r="B642" s="83"/>
      <c r="C642" s="83" t="n">
        <f aca="false">Calculos!$C$632*Inputs!$C$47/365+Calculos!$C$633*Inputs!$C$48/365-Calculos!$C$633*Inputs!$C$49/365</f>
        <v>7263576.65608767</v>
      </c>
      <c r="D642" s="83" t="n">
        <f aca="false">Calculos!$D$632*Inputs!$C$47/365+Calculos!$D$633*Inputs!$C$48/365-Calculos!$D$633*Inputs!$C$49/365</f>
        <v>7481483.9557703</v>
      </c>
      <c r="E642" s="83" t="n">
        <f aca="false">Calculos!$E$632*Inputs!$C$47/365+Calculos!$E$633*Inputs!$C$48/365-Calculos!$E$633*Inputs!$C$49/365</f>
        <v>7705928.47444341</v>
      </c>
      <c r="F642" s="83" t="n">
        <f aca="false">Calculos!$F$632*Inputs!$C$47/365+Calculos!$F$633*Inputs!$C$48/365-Calculos!$F$633*Inputs!$C$49/365</f>
        <v>7937106.32867671</v>
      </c>
      <c r="G642" s="83" t="n">
        <f aca="false">Calculos!$G$632*Inputs!$C$47/365+Calculos!$G$633*Inputs!$C$48/365-Calculos!$G$633*Inputs!$C$49/365</f>
        <v>8175219.51853702</v>
      </c>
    </row>
    <row r="643" customFormat="false" ht="12.8" hidden="false" customHeight="false" outlineLevel="0" collapsed="false">
      <c r="A643" s="0" t="s">
        <v>328</v>
      </c>
      <c r="B643" s="83"/>
      <c r="C643" s="83" t="n">
        <f aca="false">Calculos!$C$642-Calculos!$C$642</f>
        <v>0</v>
      </c>
      <c r="D643" s="83" t="n">
        <f aca="false">Calculos!$D$642-Calculos!$C$642</f>
        <v>217907.299682629</v>
      </c>
      <c r="E643" s="83" t="n">
        <f aca="false">Calculos!$E$642-Calculos!$D$642</f>
        <v>224444.51867311</v>
      </c>
      <c r="F643" s="83" t="n">
        <f aca="false">Calculos!$F$642-Calculos!$E$642</f>
        <v>231177.854233301</v>
      </c>
      <c r="G643" s="83" t="n">
        <f aca="false">Calculos!$G$642-Calculos!$F$642</f>
        <v>238113.189860302</v>
      </c>
    </row>
    <row r="644" customFormat="false" ht="12.8" hidden="false" customHeight="false" outlineLevel="0" collapsed="false">
      <c r="A644" s="0" t="s">
        <v>329</v>
      </c>
      <c r="B644" s="83"/>
      <c r="C644" s="83" t="n">
        <f aca="false">0</f>
        <v>0</v>
      </c>
      <c r="D644" s="83" t="n">
        <f aca="false">0</f>
        <v>0</v>
      </c>
      <c r="E644" s="83" t="n">
        <f aca="false">0</f>
        <v>0</v>
      </c>
      <c r="F644" s="83" t="n">
        <f aca="false">0</f>
        <v>0</v>
      </c>
      <c r="G644" s="83" t="n">
        <f aca="false">Calculos!$B$624-MAX(0,(Calculos!$B$624-MAX(0,Calculos!$B$621-Calculos!$B$623*5)))*Inputs!$C$25+Calculos!$G$642+Calculos!$B$625</f>
        <v>12413060.861787</v>
      </c>
    </row>
    <row r="645" customFormat="false" ht="12.8" hidden="false" customHeight="false" outlineLevel="0" collapsed="false">
      <c r="A645" s="0" t="s">
        <v>330</v>
      </c>
      <c r="B645" s="83" t="n">
        <f aca="false">-(Calculos!$B$622+Calculos!$B$625+Calculos!$C$642)</f>
        <v>-38467030.0885877</v>
      </c>
      <c r="C645" s="83" t="n">
        <f aca="false">Calculos!$C$635-Calculos!$C$640-Calculos!$C$643+Calculos!$C$644</f>
        <v>-18558189.9648</v>
      </c>
      <c r="D645" s="83" t="n">
        <f aca="false">Calculos!$D$635-Calculos!$D$640-Calculos!$D$643+Calculos!$D$644</f>
        <v>-19332842.9634266</v>
      </c>
      <c r="E645" s="83" t="n">
        <f aca="false">Calculos!$E$635-Calculos!$E$640-Calculos!$E$643+Calculos!$E$644</f>
        <v>-19912828.2523294</v>
      </c>
      <c r="F645" s="83" t="n">
        <f aca="false">Calculos!$F$635-Calculos!$F$640-Calculos!$F$643+Calculos!$F$644</f>
        <v>-20510213.0998993</v>
      </c>
      <c r="G645" s="83" t="n">
        <f aca="false">Calculos!$G$635-Calculos!$G$640-Calculos!$G$643+Calculos!$G$644</f>
        <v>-8712458.63110929</v>
      </c>
    </row>
    <row r="646" customFormat="false" ht="12.8" hidden="false" customHeight="false" outlineLevel="0" collapsed="false">
      <c r="A646" s="0" t="s">
        <v>331</v>
      </c>
      <c r="B646" s="83" t="n">
        <v>1</v>
      </c>
      <c r="C646" s="83" t="n">
        <f aca="false">1/(1+Inputs!$C$6)^1</f>
        <v>0.830151087497925</v>
      </c>
      <c r="D646" s="83" t="n">
        <f aca="false">1/(1+Inputs!$C$6)^2</f>
        <v>0.689150828073987</v>
      </c>
      <c r="E646" s="83" t="n">
        <f aca="false">1/(1+Inputs!$C$6)^3</f>
        <v>0.572099309375715</v>
      </c>
      <c r="F646" s="83" t="n">
        <f aca="false">1/(1+Inputs!$C$6)^4</f>
        <v>0.474928863835062</v>
      </c>
      <c r="G646" s="83" t="n">
        <f aca="false">1/(1+Inputs!$C$6)^5</f>
        <v>0.39426271279683</v>
      </c>
    </row>
    <row r="647" customFormat="false" ht="12.8" hidden="false" customHeight="false" outlineLevel="0" collapsed="false">
      <c r="A647" s="0" t="s">
        <v>332</v>
      </c>
      <c r="B647" s="83" t="n">
        <f aca="false">Calculos!$B$645</f>
        <v>-38467030.0885877</v>
      </c>
      <c r="C647" s="83" t="n">
        <f aca="false">Calculos!$C$645*Calculos!$C$646</f>
        <v>-15406101.5812718</v>
      </c>
      <c r="D647" s="83" t="n">
        <f aca="false">Calculos!$D$645*Calculos!$D$646</f>
        <v>-13323244.7372698</v>
      </c>
      <c r="E647" s="83" t="n">
        <f aca="false">Calculos!$E$645*Calculos!$E$646</f>
        <v>-11392115.2908749</v>
      </c>
      <c r="F647" s="83" t="n">
        <f aca="false">Calculos!$F$645*Calculos!$F$646</f>
        <v>-9740892.20455019</v>
      </c>
      <c r="G647" s="83" t="n">
        <f aca="false">Calculos!$G$645*Calculos!$G$646</f>
        <v>-3434997.57503131</v>
      </c>
    </row>
    <row r="648" customFormat="false" ht="12.8" hidden="false" customHeight="false" outlineLevel="0" collapsed="false">
      <c r="A648" s="0" t="s">
        <v>333</v>
      </c>
      <c r="B648" s="83" t="n">
        <f aca="false">Calculos!$B$645</f>
        <v>-38467030.0885877</v>
      </c>
      <c r="C648" s="83" t="n">
        <f aca="false">Calculos!$B$648+Calculos!$C$645</f>
        <v>-57025220.0533877</v>
      </c>
      <c r="D648" s="83" t="n">
        <f aca="false">Calculos!$C$648+Calculos!$D$645</f>
        <v>-76358063.0168143</v>
      </c>
      <c r="E648" s="83" t="n">
        <f aca="false">Calculos!$D$648+Calculos!$E$645</f>
        <v>-96270891.2691437</v>
      </c>
      <c r="F648" s="83" t="n">
        <f aca="false">Calculos!$E$648+Calculos!$F$645</f>
        <v>-116781104.369043</v>
      </c>
      <c r="G648" s="83" t="n">
        <f aca="false">Calculos!$F$648+Calculos!$G$645</f>
        <v>-125493563.000152</v>
      </c>
    </row>
    <row r="649" customFormat="false" ht="12.8" hidden="false" customHeight="false" outlineLevel="0" collapsed="false">
      <c r="A649" s="0" t="s">
        <v>334</v>
      </c>
      <c r="B649" s="83" t="n">
        <f aca="false">Calculos!$B$647</f>
        <v>-38467030.0885877</v>
      </c>
      <c r="C649" s="83" t="n">
        <f aca="false">Calculos!$B$649+Calculos!$C$647</f>
        <v>-53873131.6698595</v>
      </c>
      <c r="D649" s="83" t="n">
        <f aca="false">Calculos!$C$649+Calculos!$D$647</f>
        <v>-67196376.4071293</v>
      </c>
      <c r="E649" s="83" t="n">
        <f aca="false">Calculos!$D$649+Calculos!$E$647</f>
        <v>-78588491.6980042</v>
      </c>
      <c r="F649" s="83" t="n">
        <f aca="false">Calculos!$E$649+Calculos!$F$647</f>
        <v>-88329383.9025544</v>
      </c>
      <c r="G649" s="83" t="n">
        <f aca="false">Calculos!$F$649+Calculos!$G$647</f>
        <v>-91764381.4775857</v>
      </c>
    </row>
    <row r="651" customFormat="false" ht="12.8" hidden="false" customHeight="false" outlineLevel="0" collapsed="false">
      <c r="A651" s="0" t="s">
        <v>3</v>
      </c>
      <c r="B651" s="83" t="n">
        <f aca="false">-Calculos!$B$645</f>
        <v>38467030.0885877</v>
      </c>
    </row>
    <row r="652" customFormat="false" ht="12.8" hidden="false" customHeight="false" outlineLevel="0" collapsed="false">
      <c r="A652" s="0" t="s">
        <v>7</v>
      </c>
      <c r="B652" s="83" t="n">
        <f aca="false">SUM(Calculos!$B$647:$G$647)</f>
        <v>-91764381.4775857</v>
      </c>
    </row>
    <row r="653" customFormat="false" ht="12.8" hidden="false" customHeight="false" outlineLevel="0" collapsed="false">
      <c r="A653" s="0" t="s">
        <v>9</v>
      </c>
      <c r="B653" s="84" t="e">
        <f aca="false">IFERROR(IRR(Calculos!$B$645:$G$645),NA())</f>
        <v>#N/A</v>
      </c>
    </row>
    <row r="654" customFormat="false" ht="12.8" hidden="false" customHeight="false" outlineLevel="0" collapsed="false">
      <c r="A654" s="0" t="s">
        <v>10</v>
      </c>
      <c r="B654" s="0" t="e">
        <f aca="false">IFERROR(IF(Calculos!$C$649&gt;=0,0+(-Calculos!$B$649/Calculos!$C$647),IF(Calculos!$D$649&gt;=0,1+(-Calculos!$C$649/Calculos!$D$647),IF(Calculos!$E$649&gt;=0,2+(-Calculos!$D$649/Calculos!$E$647),IF(Calculos!$F$649&gt;=0,3+(-Calculos!$E$649/Calculos!$F$647),IF(Calculos!$G$649&gt;=0,4+(-Calculos!$F$649/Calculos!$G$647),NA()))))),NA())</f>
        <v>#N/A</v>
      </c>
    </row>
    <row r="655" customFormat="false" ht="12.8" hidden="false" customHeight="false" outlineLevel="0" collapsed="false">
      <c r="A655" s="0" t="s">
        <v>12</v>
      </c>
      <c r="B655" s="0" t="n">
        <f aca="false">(Calculos!$C$647+Calculos!$D$647+Calculos!$E$647+Calculos!$F$647+Calculos!$G$647)/(-Calculos!$B$645)</f>
        <v>-1.38553330647718</v>
      </c>
    </row>
    <row r="656" customFormat="false" ht="12.8" hidden="false" customHeight="false" outlineLevel="0" collapsed="false">
      <c r="A656" s="0" t="s">
        <v>5</v>
      </c>
      <c r="B656" s="83" t="n">
        <f aca="false">-MIN(Calculos!$B$648:$G$648)</f>
        <v>125493563.000152</v>
      </c>
    </row>
    <row r="657" customFormat="false" ht="12.8" hidden="false" customHeight="false" outlineLevel="0" collapsed="false">
      <c r="A657" s="0" t="s">
        <v>363</v>
      </c>
      <c r="B657" s="0" t="n">
        <f aca="false">IF((Calculos!$C$630-Calculos!$C$631)&gt;0,Calculos!$C$634/(Calculos!$C$630-Calculos!$C$631)/12,NA())</f>
        <v>2169.86108768423</v>
      </c>
    </row>
    <row r="658" customFormat="false" ht="12.8" hidden="false" customHeight="false" outlineLevel="0" collapsed="false">
      <c r="A658" s="0" t="s">
        <v>364</v>
      </c>
      <c r="B658" s="0" t="n">
        <f aca="false">IF(AND(Inputs!$C$51&gt;0,Inputs!$C$52&gt;0),Inputs!$C$51*Inputs!$C$52*12,NA())</f>
        <v>15840</v>
      </c>
    </row>
    <row r="659" customFormat="false" ht="12.8" hidden="false" customHeight="false" outlineLevel="0" collapsed="false">
      <c r="A659" s="0" t="s">
        <v>365</v>
      </c>
      <c r="B659" s="0" t="n">
        <f aca="false">IFERROR(Calculos!$G$628/Calculos!$B$658,NA())</f>
        <v>1</v>
      </c>
    </row>
    <row r="660" customFormat="false" ht="12.8" hidden="false" customHeight="false" outlineLevel="0" collapsed="false">
      <c r="A660" s="0" t="s">
        <v>366</v>
      </c>
      <c r="B660" s="0" t="n">
        <f aca="false">IFERROR(Calculos!$B$657*12/Calculos!$B$658,NA())</f>
        <v>1.64383415733653</v>
      </c>
    </row>
    <row r="661" customFormat="false" ht="12.8" hidden="false" customHeight="false" outlineLevel="0" collapsed="false">
      <c r="A661" s="0" t="s">
        <v>367</v>
      </c>
      <c r="B661" s="0" t="n">
        <f aca="false">IFERROR(Calculos!$B$652/Calculos!$B$656,NA())</f>
        <v>-0.731227795942604</v>
      </c>
    </row>
    <row r="664" customFormat="false" ht="12.8" hidden="false" customHeight="false" outlineLevel="0" collapsed="false">
      <c r="A664" s="81" t="s">
        <v>379</v>
      </c>
      <c r="B664" s="81"/>
      <c r="C664" s="81"/>
      <c r="D664" s="81"/>
      <c r="E664" s="81"/>
      <c r="F664" s="81"/>
      <c r="G664" s="81"/>
    </row>
    <row r="665" customFormat="false" ht="12.8" hidden="false" customHeight="false" outlineLevel="0" collapsed="false">
      <c r="A665" s="0" t="s">
        <v>316</v>
      </c>
      <c r="B665" s="85" t="n">
        <f aca="false">Inputs!$C$86</f>
        <v>1.2</v>
      </c>
    </row>
    <row r="666" customFormat="false" ht="12.8" hidden="false" customHeight="false" outlineLevel="0" collapsed="false">
      <c r="A666" s="0" t="s">
        <v>315</v>
      </c>
      <c r="B666" s="82" t="n">
        <f aca="false">Inputs!$C$88</f>
        <v>1</v>
      </c>
    </row>
    <row r="667" customFormat="false" ht="12.8" hidden="false" customHeight="false" outlineLevel="0" collapsed="false">
      <c r="A667" s="0" t="s">
        <v>348</v>
      </c>
      <c r="B667" s="0" t="n">
        <f aca="false">1</f>
        <v>1</v>
      </c>
    </row>
    <row r="668" customFormat="false" ht="12.8" hidden="false" customHeight="false" outlineLevel="0" collapsed="false">
      <c r="A668" s="0" t="s">
        <v>349</v>
      </c>
      <c r="B668" s="0" t="n">
        <f aca="false">1</f>
        <v>1</v>
      </c>
    </row>
    <row r="669" customFormat="false" ht="12.8" hidden="false" customHeight="false" outlineLevel="0" collapsed="false">
      <c r="A669" s="0" t="s">
        <v>350</v>
      </c>
      <c r="B669" s="0" t="n">
        <f aca="false">1</f>
        <v>1</v>
      </c>
    </row>
    <row r="671" customFormat="false" ht="12.8" hidden="false" customHeight="false" outlineLevel="0" collapsed="false">
      <c r="A671" s="0" t="s">
        <v>351</v>
      </c>
      <c r="B671" s="83" t="n">
        <f aca="false">IF(Inputs!$C$61&gt;0,Inputs!$C$61,Inputs!$C$53+Inputs!$C$54+Inputs!$C$55+Inputs!$C$56+Inputs!$C$57+Inputs!$C$58+Inputs!$C$59+Inputs!$C$60)</f>
        <v>10120237</v>
      </c>
    </row>
    <row r="672" customFormat="false" ht="12.8" hidden="false" customHeight="false" outlineLevel="0" collapsed="false">
      <c r="A672" s="0" t="s">
        <v>352</v>
      </c>
      <c r="B672" s="83" t="n">
        <f aca="false">Calculos!$B$671*Inputs!$C$62</f>
        <v>1518035.55</v>
      </c>
    </row>
    <row r="673" customFormat="false" ht="12.8" hidden="false" customHeight="false" outlineLevel="0" collapsed="false">
      <c r="A673" s="0" t="s">
        <v>353</v>
      </c>
      <c r="B673" s="83" t="n">
        <f aca="false">IF(Inputs!$C$39&gt;0,Inputs!$C$39,Inputs!$C$37*Inputs!$C$38)</f>
        <v>759720</v>
      </c>
    </row>
    <row r="674" customFormat="false" ht="12.8" hidden="false" customHeight="false" outlineLevel="0" collapsed="false">
      <c r="A674" s="0" t="s">
        <v>354</v>
      </c>
      <c r="B674" s="83" t="n">
        <f aca="false">((Inputs!$C$26*Inputs!$C$34+Inputs!$C$27*Inputs!$C$35+Inputs!$C$28*Inputs!$C$36+Inputs!$C$29)*(1+Inputs!$C$33)+Inputs!$C$30+Inputs!$C$31+Inputs!$C$32)</f>
        <v>2433.274</v>
      </c>
    </row>
    <row r="675" customFormat="false" ht="12.8" hidden="false" customHeight="false" outlineLevel="0" collapsed="false">
      <c r="A675" s="0" t="s">
        <v>355</v>
      </c>
      <c r="B675" s="83" t="n">
        <f aca="false">(Calculos!$B$673+IF(Inputs!$C$50&gt;0,Inputs!$C$50,Inputs!$C$40*Inputs!$C$41)+Inputs!$C$42+Inputs!$C$43+Inputs!$C$44+Inputs!$C$45+Inputs!$C$46)</f>
        <v>3833550</v>
      </c>
    </row>
    <row r="676" customFormat="false" ht="12.8" hidden="false" customHeight="false" outlineLevel="0" collapsed="false">
      <c r="A676" s="0" t="s">
        <v>356</v>
      </c>
      <c r="B676" s="83" t="n">
        <f aca="false">(Calculos!$B$671+Calculos!$B$672+Inputs!$C$63)*(1+Inputs!$C$66)*Calculos!$B$669</f>
        <v>27184013.4325</v>
      </c>
    </row>
    <row r="677" customFormat="false" ht="12.8" hidden="false" customHeight="false" outlineLevel="0" collapsed="false">
      <c r="A677" s="0" t="s">
        <v>357</v>
      </c>
      <c r="B677" s="83" t="n">
        <f aca="false">Calculos!$B$676+(Inputs!$C$64+Inputs!$C$65)*Calculos!$B$669</f>
        <v>29684013.4325</v>
      </c>
    </row>
    <row r="678" customFormat="false" ht="12.8" hidden="false" customHeight="false" outlineLevel="0" collapsed="false">
      <c r="A678" s="0" t="s">
        <v>358</v>
      </c>
      <c r="B678" s="83" t="n">
        <f aca="false">Calculos!$B$676/Inputs!$C$68</f>
        <v>2718401.34325</v>
      </c>
    </row>
    <row r="679" customFormat="false" ht="12.8" hidden="false" customHeight="false" outlineLevel="0" collapsed="false">
      <c r="A679" s="0" t="s">
        <v>359</v>
      </c>
      <c r="B679" s="83" t="n">
        <f aca="false">Calculos!$B$676*Inputs!$C$69</f>
        <v>2718401.34325</v>
      </c>
    </row>
    <row r="680" customFormat="false" ht="12.8" hidden="false" customHeight="false" outlineLevel="0" collapsed="false">
      <c r="A680" s="0" t="s">
        <v>360</v>
      </c>
      <c r="B680" s="83" t="n">
        <f aca="false">Calculos!$B$673*Inputs!$C$67</f>
        <v>1519440</v>
      </c>
    </row>
    <row r="682" customFormat="false" ht="18.45" hidden="false" customHeight="true" outlineLevel="0" collapsed="false">
      <c r="A682" s="45" t="s">
        <v>294</v>
      </c>
      <c r="B682" s="45" t="s">
        <v>309</v>
      </c>
      <c r="C682" s="45" t="s">
        <v>310</v>
      </c>
      <c r="D682" s="45" t="s">
        <v>311</v>
      </c>
      <c r="E682" s="45" t="s">
        <v>312</v>
      </c>
      <c r="F682" s="45" t="s">
        <v>313</v>
      </c>
      <c r="G682" s="45" t="s">
        <v>314</v>
      </c>
    </row>
    <row r="683" customFormat="false" ht="12.8" hidden="false" customHeight="false" outlineLevel="0" collapsed="false">
      <c r="A683" s="0" t="s">
        <v>315</v>
      </c>
      <c r="C683" s="0" t="n">
        <f aca="false">IF(AND(Inputs!$C$51&gt;0,Inputs!$C$52&gt;0),MIN((IF(Inputs!$C$11&gt;0,Inputs!$C$11*12,Inputs!$C$12))*Calculos!$B$666,Inputs!$C$51*Inputs!$C$52*12),(IF(Inputs!$C$11&gt;0,Inputs!$C$11*12,Inputs!$C$12))*Calculos!$B$666)</f>
        <v>15840</v>
      </c>
      <c r="D683" s="0" t="n">
        <f aca="false">IF(AND(Inputs!$C$51&gt;0,Inputs!$C$52&gt;0),MIN((IF(Inputs!$C$11&gt;0,Inputs!$C$11*12,Inputs!$C$12)*IF(Inputs!$C$17&gt;0,Inputs!$C$17,Inputs!$C$13/Inputs!$C$12))*Calculos!$B$666,Inputs!$C$51*Inputs!$C$52*12),(IF(Inputs!$C$11&gt;0,Inputs!$C$11*12,Inputs!$C$12)*IF(Inputs!$C$17&gt;0,Inputs!$C$17,Inputs!$C$13/Inputs!$C$12))*Calculos!$B$666)</f>
        <v>15840</v>
      </c>
      <c r="E683" s="0" t="n">
        <f aca="false">IF(AND(Inputs!$C$51&gt;0,Inputs!$C$52&gt;0),MIN((IF(Inputs!$C$11&gt;0,Inputs!$C$11*12,Inputs!$C$12)*IF(Inputs!$C$18&gt;0,Inputs!$C$18,Inputs!$C$14/Inputs!$C$12))*Calculos!$B$666,Inputs!$C$51*Inputs!$C$52*12),(IF(Inputs!$C$11&gt;0,Inputs!$C$11*12,Inputs!$C$12)*IF(Inputs!$C$18&gt;0,Inputs!$C$18,Inputs!$C$14/Inputs!$C$12))*Calculos!$B$666)</f>
        <v>15840</v>
      </c>
      <c r="F683" s="0" t="n">
        <f aca="false">IF(AND(Inputs!$C$51&gt;0,Inputs!$C$52&gt;0),MIN((IF(Inputs!$C$11&gt;0,Inputs!$C$11*12,Inputs!$C$12)*IF(Inputs!$C$19&gt;0,Inputs!$C$19,Inputs!$C$15/Inputs!$C$12))*Calculos!$B$666,Inputs!$C$51*Inputs!$C$52*12),(IF(Inputs!$C$11&gt;0,Inputs!$C$11*12,Inputs!$C$12)*IF(Inputs!$C$19&gt;0,Inputs!$C$19,Inputs!$C$15/Inputs!$C$12))*Calculos!$B$666)</f>
        <v>15840</v>
      </c>
      <c r="G683" s="0" t="n">
        <f aca="false">IF(AND(Inputs!$C$51&gt;0,Inputs!$C$52&gt;0),MIN((IF(Inputs!$C$11&gt;0,Inputs!$C$11*12,Inputs!$C$12)*IF(Inputs!$C$20&gt;0,Inputs!$C$20,Inputs!$C$16/Inputs!$C$12))*Calculos!$B$666,Inputs!$C$51*Inputs!$C$52*12),(IF(Inputs!$C$11&gt;0,Inputs!$C$11*12,Inputs!$C$12)*IF(Inputs!$C$20&gt;0,Inputs!$C$20,Inputs!$C$16/Inputs!$C$12))*Calculos!$B$666)</f>
        <v>15840</v>
      </c>
    </row>
    <row r="684" customFormat="false" ht="12.8" hidden="false" customHeight="false" outlineLevel="0" collapsed="false">
      <c r="A684" s="0" t="s">
        <v>361</v>
      </c>
      <c r="C684" s="0" t="n">
        <f aca="false">(1+Inputs!$C$7)^1</f>
        <v>1.03</v>
      </c>
      <c r="D684" s="0" t="n">
        <f aca="false">(1+Inputs!$C$7)^2</f>
        <v>1.0609</v>
      </c>
      <c r="E684" s="0" t="n">
        <f aca="false">(1+Inputs!$C$7)^3</f>
        <v>1.092727</v>
      </c>
      <c r="F684" s="0" t="n">
        <f aca="false">(1+Inputs!$C$7)^4</f>
        <v>1.12550881</v>
      </c>
      <c r="G684" s="0" t="n">
        <f aca="false">(1+Inputs!$C$7)^5</f>
        <v>1.1592740743</v>
      </c>
    </row>
    <row r="685" customFormat="false" ht="12.8" hidden="false" customHeight="false" outlineLevel="0" collapsed="false">
      <c r="A685" s="0" t="s">
        <v>316</v>
      </c>
      <c r="B685" s="83"/>
      <c r="C685" s="83" t="n">
        <f aca="false">Inputs!$C$10*Calculos!$B$665*Calculos!$C$684</f>
        <v>5191.2</v>
      </c>
      <c r="D685" s="83" t="n">
        <f aca="false">Inputs!$C$10*Calculos!$B$665*Calculos!$D$684</f>
        <v>5346.936</v>
      </c>
      <c r="E685" s="83" t="n">
        <f aca="false">Inputs!$C$10*Calculos!$B$665*Calculos!$E$684</f>
        <v>5507.34408</v>
      </c>
      <c r="F685" s="83" t="n">
        <f aca="false">Inputs!$C$10*Calculos!$B$665*Calculos!$F$684</f>
        <v>5672.5644024</v>
      </c>
      <c r="G685" s="83" t="n">
        <f aca="false">Inputs!$C$10*Calculos!$B$665*Calculos!$G$684</f>
        <v>5842.741334472</v>
      </c>
    </row>
    <row r="686" customFormat="false" ht="12.8" hidden="false" customHeight="false" outlineLevel="0" collapsed="false">
      <c r="A686" s="0" t="s">
        <v>362</v>
      </c>
      <c r="B686" s="83"/>
      <c r="C686" s="83" t="n">
        <f aca="false">Calculos!$B$674*Calculos!$B$667*Calculos!$C$684</f>
        <v>2506.27222</v>
      </c>
      <c r="D686" s="83" t="n">
        <f aca="false">Calculos!$B$674*Calculos!$B$667*Calculos!$D$684</f>
        <v>2581.4603866</v>
      </c>
      <c r="E686" s="83" t="n">
        <f aca="false">Calculos!$B$674*Calculos!$B$667*Calculos!$E$684</f>
        <v>2658.904198198</v>
      </c>
      <c r="F686" s="83" t="n">
        <f aca="false">Calculos!$B$674*Calculos!$B$667*Calculos!$F$684</f>
        <v>2738.67132414394</v>
      </c>
      <c r="G686" s="83" t="n">
        <f aca="false">Calculos!$B$674*Calculos!$B$667*Calculos!$G$684</f>
        <v>2820.83146386826</v>
      </c>
    </row>
    <row r="687" customFormat="false" ht="12.8" hidden="false" customHeight="false" outlineLevel="0" collapsed="false">
      <c r="A687" s="0" t="s">
        <v>317</v>
      </c>
      <c r="B687" s="83"/>
      <c r="C687" s="83" t="n">
        <f aca="false">Calculos!$C$683*Calculos!$C$685</f>
        <v>82228608</v>
      </c>
      <c r="D687" s="83" t="n">
        <f aca="false">Calculos!$D$683*Calculos!$D$685</f>
        <v>84695466.24</v>
      </c>
      <c r="E687" s="83" t="n">
        <f aca="false">Calculos!$E$683*Calculos!$E$685</f>
        <v>87236330.2272</v>
      </c>
      <c r="F687" s="83" t="n">
        <f aca="false">Calculos!$F$683*Calculos!$F$685</f>
        <v>89853420.134016</v>
      </c>
      <c r="G687" s="83" t="n">
        <f aca="false">Calculos!$G$683*Calculos!$G$685</f>
        <v>92549022.7380365</v>
      </c>
    </row>
    <row r="688" customFormat="false" ht="12.8" hidden="false" customHeight="false" outlineLevel="0" collapsed="false">
      <c r="A688" s="0" t="s">
        <v>318</v>
      </c>
      <c r="B688" s="83"/>
      <c r="C688" s="83" t="n">
        <f aca="false">Calculos!$C$683*Calculos!$C$686</f>
        <v>39699351.9648</v>
      </c>
      <c r="D688" s="83" t="n">
        <f aca="false">Calculos!$D$683*Calculos!$D$686</f>
        <v>40890332.523744</v>
      </c>
      <c r="E688" s="83" t="n">
        <f aca="false">Calculos!$E$683*Calculos!$E$686</f>
        <v>42117042.4994563</v>
      </c>
      <c r="F688" s="83" t="n">
        <f aca="false">Calculos!$F$683*Calculos!$F$686</f>
        <v>43380553.77444</v>
      </c>
      <c r="G688" s="83" t="n">
        <f aca="false">Calculos!$G$683*Calculos!$G$686</f>
        <v>44681970.3876732</v>
      </c>
    </row>
    <row r="689" customFormat="false" ht="12.8" hidden="false" customHeight="false" outlineLevel="0" collapsed="false">
      <c r="A689" s="0" t="s">
        <v>319</v>
      </c>
      <c r="B689" s="83"/>
      <c r="C689" s="83" t="n">
        <f aca="false">Calculos!$B$675*12*Calculos!$B$668*Calculos!$C$684</f>
        <v>47382678</v>
      </c>
      <c r="D689" s="83" t="n">
        <f aca="false">Calculos!$B$675*12*Calculos!$B$668*Calculos!$D$684</f>
        <v>48804158.34</v>
      </c>
      <c r="E689" s="83" t="n">
        <f aca="false">Calculos!$B$675*12*Calculos!$B$668*Calculos!$E$684</f>
        <v>50268283.0902</v>
      </c>
      <c r="F689" s="83" t="n">
        <f aca="false">Calculos!$B$675*12*Calculos!$B$668*Calculos!$F$684</f>
        <v>51776331.582906</v>
      </c>
      <c r="G689" s="83" t="n">
        <f aca="false">Calculos!$B$675*12*Calculos!$B$668*Calculos!$G$684</f>
        <v>53329621.5303932</v>
      </c>
    </row>
    <row r="690" customFormat="false" ht="12.8" hidden="false" customHeight="false" outlineLevel="0" collapsed="false">
      <c r="A690" s="0" t="s">
        <v>320</v>
      </c>
      <c r="B690" s="83"/>
      <c r="C690" s="83" t="n">
        <f aca="false">Calculos!$C$687-Calculos!$C$688-Calculos!$C$689</f>
        <v>-4853421.96480001</v>
      </c>
      <c r="D690" s="83" t="n">
        <f aca="false">Calculos!$D$687-Calculos!$D$688-Calculos!$D$689</f>
        <v>-4999024.623744</v>
      </c>
      <c r="E690" s="83" t="n">
        <f aca="false">Calculos!$E$687-Calculos!$E$688-Calculos!$E$689</f>
        <v>-5148995.36245632</v>
      </c>
      <c r="F690" s="83" t="n">
        <f aca="false">Calculos!$F$687-Calculos!$F$688-Calculos!$F$689</f>
        <v>-5303465.22333002</v>
      </c>
      <c r="G690" s="83" t="n">
        <f aca="false">Calculos!$G$687-Calculos!$G$688-Calculos!$G$689</f>
        <v>-5462569.1800299</v>
      </c>
    </row>
    <row r="691" customFormat="false" ht="12.8" hidden="false" customHeight="false" outlineLevel="0" collapsed="false">
      <c r="A691" s="0" t="s">
        <v>321</v>
      </c>
      <c r="B691" s="83"/>
      <c r="C691" s="83" t="n">
        <f aca="false">Calculos!$B$678</f>
        <v>2718401.34325</v>
      </c>
      <c r="D691" s="83" t="n">
        <f aca="false">Calculos!$B$678</f>
        <v>2718401.34325</v>
      </c>
      <c r="E691" s="83" t="n">
        <f aca="false">Calculos!$B$678</f>
        <v>2718401.34325</v>
      </c>
      <c r="F691" s="83" t="n">
        <f aca="false">Calculos!$B$678</f>
        <v>2718401.34325</v>
      </c>
      <c r="G691" s="83" t="n">
        <f aca="false">Calculos!$B$678</f>
        <v>2718401.34325</v>
      </c>
    </row>
    <row r="692" customFormat="false" ht="12.8" hidden="false" customHeight="false" outlineLevel="0" collapsed="false">
      <c r="A692" s="0" t="s">
        <v>322</v>
      </c>
      <c r="B692" s="83"/>
      <c r="C692" s="83" t="n">
        <f aca="false">Calculos!$C$690-Calculos!$C$691</f>
        <v>-7571823.30805001</v>
      </c>
      <c r="D692" s="83" t="n">
        <f aca="false">Calculos!$D$690-Calculos!$D$691</f>
        <v>-7717425.966994</v>
      </c>
      <c r="E692" s="83" t="n">
        <f aca="false">Calculos!$E$690-Calculos!$E$691</f>
        <v>-7867396.70570632</v>
      </c>
      <c r="F692" s="83" t="n">
        <f aca="false">Calculos!$F$690-Calculos!$F$691</f>
        <v>-8021866.56658002</v>
      </c>
      <c r="G692" s="83" t="n">
        <f aca="false">Calculos!$G$690-Calculos!$G$691</f>
        <v>-8180970.5232799</v>
      </c>
    </row>
    <row r="693" customFormat="false" ht="12.8" hidden="false" customHeight="false" outlineLevel="0" collapsed="false">
      <c r="A693" s="0" t="s">
        <v>323</v>
      </c>
      <c r="B693" s="83"/>
      <c r="C693" s="83" t="n">
        <f aca="false">0</f>
        <v>0</v>
      </c>
      <c r="D693" s="83" t="n">
        <f aca="false">Calculos!$C$696</f>
        <v>7571823.30805001</v>
      </c>
      <c r="E693" s="83" t="n">
        <f aca="false">Calculos!$D$696</f>
        <v>15289249.275044</v>
      </c>
      <c r="F693" s="83" t="n">
        <f aca="false">Calculos!$E$696</f>
        <v>23156645.9807503</v>
      </c>
      <c r="G693" s="83" t="n">
        <f aca="false">Calculos!$F$696</f>
        <v>31178512.5473304</v>
      </c>
    </row>
    <row r="694" customFormat="false" ht="12.8" hidden="false" customHeight="false" outlineLevel="0" collapsed="false">
      <c r="A694" s="0" t="s">
        <v>324</v>
      </c>
      <c r="B694" s="83"/>
      <c r="C694" s="83" t="n">
        <f aca="false">MAX(0,Calculos!$C$692-Calculos!$C$693)</f>
        <v>0</v>
      </c>
      <c r="D694" s="83" t="n">
        <f aca="false">MAX(0,Calculos!$D$692-Calculos!$D$693)</f>
        <v>0</v>
      </c>
      <c r="E694" s="83" t="n">
        <f aca="false">MAX(0,Calculos!$E$692-Calculos!$E$693)</f>
        <v>0</v>
      </c>
      <c r="F694" s="83" t="n">
        <f aca="false">MAX(0,Calculos!$F$692-Calculos!$F$693)</f>
        <v>0</v>
      </c>
      <c r="G694" s="83" t="n">
        <f aca="false">MAX(0,Calculos!$G$692-Calculos!$G$693)</f>
        <v>0</v>
      </c>
    </row>
    <row r="695" customFormat="false" ht="12.8" hidden="false" customHeight="false" outlineLevel="0" collapsed="false">
      <c r="A695" s="0" t="s">
        <v>325</v>
      </c>
      <c r="B695" s="83"/>
      <c r="C695" s="83" t="n">
        <f aca="false">Calculos!$C$694*Inputs!$C$21</f>
        <v>0</v>
      </c>
      <c r="D695" s="83" t="n">
        <f aca="false">Calculos!$D$694*Inputs!$C$22</f>
        <v>0</v>
      </c>
      <c r="E695" s="83" t="n">
        <f aca="false">Calculos!$E$694*Inputs!$C$23</f>
        <v>0</v>
      </c>
      <c r="F695" s="83" t="n">
        <f aca="false">Calculos!$F$694*Inputs!$C$24</f>
        <v>0</v>
      </c>
      <c r="G695" s="83" t="n">
        <f aca="false">Calculos!$G$694*Inputs!$C$25</f>
        <v>0</v>
      </c>
    </row>
    <row r="696" customFormat="false" ht="12.8" hidden="false" customHeight="false" outlineLevel="0" collapsed="false">
      <c r="A696" s="0" t="s">
        <v>326</v>
      </c>
      <c r="B696" s="83"/>
      <c r="C696" s="83" t="n">
        <f aca="false">MAX(0,Calculos!$C$693-Calculos!$C$692)</f>
        <v>7571823.30805001</v>
      </c>
      <c r="D696" s="83" t="n">
        <f aca="false">MAX(0,Calculos!$D$693-Calculos!$D$692)</f>
        <v>15289249.275044</v>
      </c>
      <c r="E696" s="83" t="n">
        <f aca="false">MAX(0,Calculos!$E$693-Calculos!$E$692)</f>
        <v>23156645.9807503</v>
      </c>
      <c r="F696" s="83" t="n">
        <f aca="false">MAX(0,Calculos!$F$693-Calculos!$F$692)</f>
        <v>31178512.5473304</v>
      </c>
      <c r="G696" s="83" t="n">
        <f aca="false">MAX(0,Calculos!$G$693-Calculos!$G$692)</f>
        <v>39359483.0706103</v>
      </c>
    </row>
    <row r="697" customFormat="false" ht="12.8" hidden="false" customHeight="false" outlineLevel="0" collapsed="false">
      <c r="A697" s="0" t="s">
        <v>327</v>
      </c>
      <c r="B697" s="83"/>
      <c r="C697" s="83" t="n">
        <f aca="false">Calculos!$C$687*Inputs!$C$47/365+Calculos!$C$688*Inputs!$C$48/365-Calculos!$C$688*Inputs!$C$49/365</f>
        <v>8389995.94375891</v>
      </c>
      <c r="D697" s="83" t="n">
        <f aca="false">Calculos!$D$687*Inputs!$C$47/365+Calculos!$D$688*Inputs!$C$48/365-Calculos!$D$688*Inputs!$C$49/365</f>
        <v>8641695.82207167</v>
      </c>
      <c r="E697" s="83" t="n">
        <f aca="false">Calculos!$E$687*Inputs!$C$47/365+Calculos!$E$688*Inputs!$C$48/365-Calculos!$E$688*Inputs!$C$49/365</f>
        <v>8900946.69673382</v>
      </c>
      <c r="F697" s="83" t="n">
        <f aca="false">Calculos!$F$687*Inputs!$C$47/365+Calculos!$F$688*Inputs!$C$48/365-Calculos!$F$688*Inputs!$C$49/365</f>
        <v>9167975.09763584</v>
      </c>
      <c r="G697" s="83" t="n">
        <f aca="false">Calculos!$G$687*Inputs!$C$47/365+Calculos!$G$688*Inputs!$C$48/365-Calculos!$G$688*Inputs!$C$49/365</f>
        <v>9443014.35056491</v>
      </c>
    </row>
    <row r="698" customFormat="false" ht="12.8" hidden="false" customHeight="false" outlineLevel="0" collapsed="false">
      <c r="A698" s="0" t="s">
        <v>328</v>
      </c>
      <c r="B698" s="83"/>
      <c r="C698" s="83" t="n">
        <f aca="false">Calculos!$C$697-Calculos!$C$697</f>
        <v>0</v>
      </c>
      <c r="D698" s="83" t="n">
        <f aca="false">Calculos!$D$697-Calculos!$C$697</f>
        <v>251699.878312767</v>
      </c>
      <c r="E698" s="83" t="n">
        <f aca="false">Calculos!$E$697-Calculos!$D$697</f>
        <v>259250.87466215</v>
      </c>
      <c r="F698" s="83" t="n">
        <f aca="false">Calculos!$F$697-Calculos!$E$697</f>
        <v>267028.400902016</v>
      </c>
      <c r="G698" s="83" t="n">
        <f aca="false">Calculos!$G$697-Calculos!$F$697</f>
        <v>275039.252929077</v>
      </c>
    </row>
    <row r="699" customFormat="false" ht="12.8" hidden="false" customHeight="false" outlineLevel="0" collapsed="false">
      <c r="A699" s="0" t="s">
        <v>329</v>
      </c>
      <c r="B699" s="83"/>
      <c r="C699" s="83" t="n">
        <f aca="false">0</f>
        <v>0</v>
      </c>
      <c r="D699" s="83" t="n">
        <f aca="false">0</f>
        <v>0</v>
      </c>
      <c r="E699" s="83" t="n">
        <f aca="false">0</f>
        <v>0</v>
      </c>
      <c r="F699" s="83" t="n">
        <f aca="false">0</f>
        <v>0</v>
      </c>
      <c r="G699" s="83" t="n">
        <f aca="false">Calculos!$B$679-MAX(0,(Calculos!$B$679-MAX(0,Calculos!$B$676-Calculos!$B$678*5)))*Inputs!$C$25+Calculos!$G$697+Calculos!$B$680</f>
        <v>13680855.6938149</v>
      </c>
    </row>
    <row r="700" customFormat="false" ht="12.8" hidden="false" customHeight="false" outlineLevel="0" collapsed="false">
      <c r="A700" s="0" t="s">
        <v>330</v>
      </c>
      <c r="B700" s="83" t="n">
        <f aca="false">-(Calculos!$B$677+Calculos!$B$680+Calculos!$C$697)</f>
        <v>-39593449.3762589</v>
      </c>
      <c r="C700" s="83" t="n">
        <f aca="false">Calculos!$C$690-Calculos!$C$695-Calculos!$C$698+Calculos!$C$699</f>
        <v>-4853421.96480001</v>
      </c>
      <c r="D700" s="83" t="n">
        <f aca="false">Calculos!$D$690-Calculos!$D$695-Calculos!$D$698+Calculos!$D$699</f>
        <v>-5250724.50205677</v>
      </c>
      <c r="E700" s="83" t="n">
        <f aca="false">Calculos!$E$690-Calculos!$E$695-Calculos!$E$698+Calculos!$E$699</f>
        <v>-5408246.23711847</v>
      </c>
      <c r="F700" s="83" t="n">
        <f aca="false">Calculos!$F$690-Calculos!$F$695-Calculos!$F$698+Calculos!$F$699</f>
        <v>-5570493.62423204</v>
      </c>
      <c r="G700" s="83" t="n">
        <f aca="false">Calculos!$G$690-Calculos!$G$695-Calculos!$G$698+Calculos!$G$699</f>
        <v>7943247.26085594</v>
      </c>
    </row>
    <row r="701" customFormat="false" ht="12.8" hidden="false" customHeight="false" outlineLevel="0" collapsed="false">
      <c r="A701" s="0" t="s">
        <v>331</v>
      </c>
      <c r="B701" s="83" t="n">
        <v>1</v>
      </c>
      <c r="C701" s="83" t="n">
        <f aca="false">1/(1+Inputs!$C$6)^1</f>
        <v>0.830151087497925</v>
      </c>
      <c r="D701" s="83" t="n">
        <f aca="false">1/(1+Inputs!$C$6)^2</f>
        <v>0.689150828073987</v>
      </c>
      <c r="E701" s="83" t="n">
        <f aca="false">1/(1+Inputs!$C$6)^3</f>
        <v>0.572099309375715</v>
      </c>
      <c r="F701" s="83" t="n">
        <f aca="false">1/(1+Inputs!$C$6)^4</f>
        <v>0.474928863835062</v>
      </c>
      <c r="G701" s="83" t="n">
        <f aca="false">1/(1+Inputs!$C$6)^5</f>
        <v>0.39426271279683</v>
      </c>
    </row>
    <row r="702" customFormat="false" ht="12.8" hidden="false" customHeight="false" outlineLevel="0" collapsed="false">
      <c r="A702" s="0" t="s">
        <v>332</v>
      </c>
      <c r="B702" s="83" t="n">
        <f aca="false">Calculos!$B$700</f>
        <v>-39593449.3762589</v>
      </c>
      <c r="C702" s="83" t="n">
        <f aca="false">Calculos!$C$700*Calculos!$C$701</f>
        <v>-4029073.52216504</v>
      </c>
      <c r="D702" s="83" t="n">
        <f aca="false">Calculos!$D$700*Calculos!$D$701</f>
        <v>-3618541.1385808</v>
      </c>
      <c r="E702" s="83" t="n">
        <f aca="false">Calculos!$E$700*Calculos!$E$701</f>
        <v>-3094053.93718929</v>
      </c>
      <c r="F702" s="83" t="n">
        <f aca="false">Calculos!$F$700*Calculos!$F$701</f>
        <v>-2645588.20795698</v>
      </c>
      <c r="G702" s="83" t="n">
        <f aca="false">Calculos!$G$700*Calculos!$G$701</f>
        <v>3131726.21348105</v>
      </c>
    </row>
    <row r="703" customFormat="false" ht="12.8" hidden="false" customHeight="false" outlineLevel="0" collapsed="false">
      <c r="A703" s="0" t="s">
        <v>333</v>
      </c>
      <c r="B703" s="83" t="n">
        <f aca="false">Calculos!$B$700</f>
        <v>-39593449.3762589</v>
      </c>
      <c r="C703" s="83" t="n">
        <f aca="false">Calculos!$B$703+Calculos!$C$700</f>
        <v>-44446871.3410589</v>
      </c>
      <c r="D703" s="83" t="n">
        <f aca="false">Calculos!$C$703+Calculos!$D$700</f>
        <v>-49697595.8431157</v>
      </c>
      <c r="E703" s="83" t="n">
        <f aca="false">Calculos!$D$703+Calculos!$E$700</f>
        <v>-55105842.0802342</v>
      </c>
      <c r="F703" s="83" t="n">
        <f aca="false">Calculos!$E$703+Calculos!$F$700</f>
        <v>-60676335.7044662</v>
      </c>
      <c r="G703" s="83" t="n">
        <f aca="false">Calculos!$F$703+Calculos!$G$700</f>
        <v>-52733088.4436103</v>
      </c>
    </row>
    <row r="704" customFormat="false" ht="12.8" hidden="false" customHeight="false" outlineLevel="0" collapsed="false">
      <c r="A704" s="0" t="s">
        <v>334</v>
      </c>
      <c r="B704" s="83" t="n">
        <f aca="false">Calculos!$B$702</f>
        <v>-39593449.3762589</v>
      </c>
      <c r="C704" s="83" t="n">
        <f aca="false">Calculos!$B$704+Calculos!$C$702</f>
        <v>-43622522.8984239</v>
      </c>
      <c r="D704" s="83" t="n">
        <f aca="false">Calculos!$C$704+Calculos!$D$702</f>
        <v>-47241064.0370047</v>
      </c>
      <c r="E704" s="83" t="n">
        <f aca="false">Calculos!$D$704+Calculos!$E$702</f>
        <v>-50335117.974194</v>
      </c>
      <c r="F704" s="83" t="n">
        <f aca="false">Calculos!$E$704+Calculos!$F$702</f>
        <v>-52980706.182151</v>
      </c>
      <c r="G704" s="83" t="n">
        <f aca="false">Calculos!$F$704+Calculos!$G$702</f>
        <v>-49848979.9686699</v>
      </c>
    </row>
    <row r="706" customFormat="false" ht="12.8" hidden="false" customHeight="false" outlineLevel="0" collapsed="false">
      <c r="A706" s="0" t="s">
        <v>3</v>
      </c>
      <c r="B706" s="83" t="n">
        <f aca="false">-Calculos!$B$700</f>
        <v>39593449.3762589</v>
      </c>
    </row>
    <row r="707" customFormat="false" ht="12.8" hidden="false" customHeight="false" outlineLevel="0" collapsed="false">
      <c r="A707" s="0" t="s">
        <v>7</v>
      </c>
      <c r="B707" s="83" t="n">
        <f aca="false">SUM(Calculos!$B$702:$G$702)</f>
        <v>-49848979.96867</v>
      </c>
    </row>
    <row r="708" customFormat="false" ht="12.8" hidden="false" customHeight="false" outlineLevel="0" collapsed="false">
      <c r="A708" s="0" t="s">
        <v>9</v>
      </c>
      <c r="B708" s="84" t="e">
        <f aca="false">IFERROR(IRR(Calculos!$B$700:$G$700),NA())</f>
        <v>#N/A</v>
      </c>
    </row>
    <row r="709" customFormat="false" ht="12.8" hidden="false" customHeight="false" outlineLevel="0" collapsed="false">
      <c r="A709" s="0" t="s">
        <v>10</v>
      </c>
      <c r="B709" s="0" t="e">
        <f aca="false">IFERROR(IF(Calculos!$C$704&gt;=0,0+(-Calculos!$B$704/Calculos!$C$702),IF(Calculos!$D$704&gt;=0,1+(-Calculos!$C$704/Calculos!$D$702),IF(Calculos!$E$704&gt;=0,2+(-Calculos!$D$704/Calculos!$E$702),IF(Calculos!$F$704&gt;=0,3+(-Calculos!$E$704/Calculos!$F$702),IF(Calculos!$G$704&gt;=0,4+(-Calculos!$F$704/Calculos!$G$702),NA()))))),NA())</f>
        <v>#N/A</v>
      </c>
    </row>
    <row r="710" customFormat="false" ht="12.8" hidden="false" customHeight="false" outlineLevel="0" collapsed="false">
      <c r="A710" s="0" t="s">
        <v>12</v>
      </c>
      <c r="B710" s="0" t="n">
        <f aca="false">(Calculos!$C$702+Calculos!$D$702+Calculos!$E$702+Calculos!$F$702+Calculos!$G$702)/(-Calculos!$B$700)</f>
        <v>-0.259020892444913</v>
      </c>
    </row>
    <row r="711" customFormat="false" ht="12.8" hidden="false" customHeight="false" outlineLevel="0" collapsed="false">
      <c r="A711" s="0" t="s">
        <v>5</v>
      </c>
      <c r="B711" s="83" t="n">
        <f aca="false">-MIN(Calculos!$B$703:$G$703)</f>
        <v>60676335.7044662</v>
      </c>
    </row>
    <row r="712" customFormat="false" ht="12.8" hidden="false" customHeight="false" outlineLevel="0" collapsed="false">
      <c r="A712" s="0" t="s">
        <v>363</v>
      </c>
      <c r="B712" s="0" t="n">
        <f aca="false">IF((Calculos!$C$685-Calculos!$C$686)&gt;0,Calculos!$C$689/(Calculos!$C$685-Calculos!$C$686)/12,NA())</f>
        <v>1470.63788062113</v>
      </c>
    </row>
    <row r="713" customFormat="false" ht="12.8" hidden="false" customHeight="false" outlineLevel="0" collapsed="false">
      <c r="A713" s="0" t="s">
        <v>364</v>
      </c>
      <c r="B713" s="0" t="n">
        <f aca="false">IF(AND(Inputs!$C$51&gt;0,Inputs!$C$52&gt;0),Inputs!$C$51*Inputs!$C$52*12,NA())</f>
        <v>15840</v>
      </c>
    </row>
    <row r="714" customFormat="false" ht="12.8" hidden="false" customHeight="false" outlineLevel="0" collapsed="false">
      <c r="A714" s="0" t="s">
        <v>365</v>
      </c>
      <c r="B714" s="0" t="n">
        <f aca="false">IFERROR(Calculos!$G$683/Calculos!$B$713,NA())</f>
        <v>1</v>
      </c>
    </row>
    <row r="715" customFormat="false" ht="12.8" hidden="false" customHeight="false" outlineLevel="0" collapsed="false">
      <c r="A715" s="0" t="s">
        <v>366</v>
      </c>
      <c r="B715" s="0" t="n">
        <f aca="false">IFERROR(Calculos!$B$712*12/Calculos!$B$713,NA())</f>
        <v>1.11411960653116</v>
      </c>
    </row>
    <row r="716" customFormat="false" ht="12.8" hidden="false" customHeight="false" outlineLevel="0" collapsed="false">
      <c r="A716" s="0" t="s">
        <v>367</v>
      </c>
      <c r="B716" s="0" t="n">
        <f aca="false">IFERROR(Calculos!$B$707/Calculos!$B$711,NA())</f>
        <v>-0.821555543687862</v>
      </c>
    </row>
  </sheetData>
  <sheetProtection sheet="true" objects="true" scenarios="true"/>
  <mergeCells count="15">
    <mergeCell ref="A1:G1"/>
    <mergeCell ref="A2:G2"/>
    <mergeCell ref="A4:G4"/>
    <mergeCell ref="A59:G59"/>
    <mergeCell ref="A114:G114"/>
    <mergeCell ref="A169:G169"/>
    <mergeCell ref="A224:G224"/>
    <mergeCell ref="A279:G279"/>
    <mergeCell ref="A334:G334"/>
    <mergeCell ref="A389:G389"/>
    <mergeCell ref="A444:G444"/>
    <mergeCell ref="A499:G499"/>
    <mergeCell ref="A554:G554"/>
    <mergeCell ref="A609:G609"/>
    <mergeCell ref="A664:G664"/>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0" t="s">
        <v>338</v>
      </c>
      <c r="C1" s="0" t="s">
        <v>380</v>
      </c>
    </row>
    <row r="2" customFormat="false" ht="12.8" hidden="false" customHeight="false" outlineLevel="0" collapsed="false">
      <c r="A2" s="0" t="s">
        <v>41</v>
      </c>
    </row>
    <row r="3" customFormat="false" ht="12.8" hidden="false" customHeight="false" outlineLevel="0" collapsed="false">
      <c r="A3" s="0" t="s">
        <v>339</v>
      </c>
    </row>
  </sheetData>
  <sheetProtection sheet="true" objects="true" scenarios="true"/>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J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8.6"/>
    <col collapsed="false" customWidth="true" hidden="false" outlineLevel="0" max="4" min="2" style="0" width="15.32"/>
    <col collapsed="false" customWidth="true" hidden="false" outlineLevel="0" max="8" min="5" style="0" width="21.45"/>
    <col collapsed="false" customWidth="true" hidden="false" outlineLevel="0" max="9" min="9" style="0" width="26.56"/>
    <col collapsed="false" customWidth="true" hidden="false" outlineLevel="0" max="10" min="10" style="0" width="45.96"/>
  </cols>
  <sheetData>
    <row r="1" customFormat="false" ht="25.5" hidden="false" customHeight="true" outlineLevel="0" collapsed="false">
      <c r="A1" s="1" t="s">
        <v>381</v>
      </c>
      <c r="B1" s="1"/>
      <c r="C1" s="1"/>
      <c r="D1" s="1"/>
      <c r="E1" s="1"/>
      <c r="F1" s="1"/>
      <c r="G1" s="1"/>
    </row>
    <row r="2" customFormat="false" ht="18.45" hidden="false" customHeight="true" outlineLevel="0" collapsed="false">
      <c r="A2" s="2" t="s">
        <v>382</v>
      </c>
      <c r="B2" s="2"/>
      <c r="C2" s="2"/>
      <c r="D2" s="2"/>
      <c r="E2" s="2"/>
      <c r="F2" s="2"/>
      <c r="G2" s="2"/>
    </row>
    <row r="4" customFormat="false" ht="12.8" hidden="false" customHeight="false" outlineLevel="0" collapsed="false">
      <c r="A4" s="86" t="s">
        <v>383</v>
      </c>
      <c r="B4" s="87" t="str">
        <f aca="false">IF(ABS(Calculos!$B$47-(-91764381.4776))&gt;1,"DESACTUALIZADO — reejecute generar_modelo_excel.py","VIGENTE")</f>
        <v>VIGENTE</v>
      </c>
    </row>
    <row r="5" customFormat="false" ht="12.8" hidden="false" customHeight="false" outlineLevel="0" collapsed="false">
      <c r="A5" s="88" t="s">
        <v>384</v>
      </c>
    </row>
    <row r="7" customFormat="false" ht="23.85" hidden="false" customHeight="false" outlineLevel="0" collapsed="false">
      <c r="A7" s="18" t="s">
        <v>33</v>
      </c>
      <c r="B7" s="20" t="s">
        <v>41</v>
      </c>
      <c r="C7" s="20" t="s">
        <v>385</v>
      </c>
      <c r="D7" s="20" t="s">
        <v>386</v>
      </c>
      <c r="E7" s="20" t="s">
        <v>387</v>
      </c>
      <c r="F7" s="20" t="s">
        <v>388</v>
      </c>
      <c r="G7" s="20" t="s">
        <v>389</v>
      </c>
      <c r="H7" s="20" t="s">
        <v>390</v>
      </c>
      <c r="I7" s="19" t="s">
        <v>391</v>
      </c>
      <c r="J7" s="21" t="s">
        <v>392</v>
      </c>
    </row>
    <row r="8" customFormat="false" ht="53.7" hidden="false" customHeight="false" outlineLevel="0" collapsed="false">
      <c r="A8" s="22" t="s">
        <v>393</v>
      </c>
      <c r="B8" s="89" t="n">
        <v>4200</v>
      </c>
      <c r="C8" s="89" t="n">
        <v>3024</v>
      </c>
      <c r="D8" s="89" t="n">
        <v>5040</v>
      </c>
      <c r="E8" s="90" t="n">
        <v>-150445943.590068</v>
      </c>
      <c r="F8" s="90" t="n">
        <v>-49848979.96867</v>
      </c>
      <c r="G8" s="90" t="n">
        <v>100596963.621398</v>
      </c>
      <c r="H8" s="90" t="n">
        <v>166681891.674845</v>
      </c>
      <c r="I8" s="23" t="s">
        <v>394</v>
      </c>
      <c r="J8" s="27" t="s">
        <v>395</v>
      </c>
    </row>
    <row r="9" customFormat="false" ht="53.7" hidden="false" customHeight="false" outlineLevel="0" collapsed="false">
      <c r="A9" s="28" t="s">
        <v>396</v>
      </c>
      <c r="B9" s="91" t="n">
        <v>2393830</v>
      </c>
      <c r="C9" s="91" t="n">
        <v>1915064</v>
      </c>
      <c r="D9" s="91" t="n">
        <v>2872596</v>
      </c>
      <c r="E9" s="92" t="n">
        <v>-73362995.3830899</v>
      </c>
      <c r="F9" s="92" t="n">
        <v>-110165767.572081</v>
      </c>
      <c r="G9" s="92" t="n">
        <v>36802772.1889914</v>
      </c>
      <c r="H9" s="92" t="n">
        <v>62834129.4400026</v>
      </c>
      <c r="I9" s="29" t="s">
        <v>397</v>
      </c>
      <c r="J9" s="33" t="s">
        <v>398</v>
      </c>
    </row>
    <row r="10" customFormat="false" ht="53.7" hidden="false" customHeight="false" outlineLevel="0" collapsed="false">
      <c r="A10" s="22" t="s">
        <v>399</v>
      </c>
      <c r="B10" s="89" t="n">
        <v>60</v>
      </c>
      <c r="C10" s="89" t="n">
        <v>48</v>
      </c>
      <c r="D10" s="89" t="n">
        <v>72</v>
      </c>
      <c r="E10" s="90" t="n">
        <v>-108786553.990161</v>
      </c>
      <c r="F10" s="90" t="n">
        <v>-74742208.9650106</v>
      </c>
      <c r="G10" s="90" t="n">
        <v>34044345.0251502</v>
      </c>
      <c r="H10" s="90" t="n">
        <v>61213248.6530387</v>
      </c>
      <c r="I10" s="23" t="s">
        <v>400</v>
      </c>
      <c r="J10" s="27" t="s">
        <v>398</v>
      </c>
    </row>
    <row r="11" customFormat="false" ht="53.7" hidden="false" customHeight="false" outlineLevel="0" collapsed="false">
      <c r="A11" s="28" t="s">
        <v>401</v>
      </c>
      <c r="B11" s="91" t="n">
        <v>22</v>
      </c>
      <c r="C11" s="91" t="n">
        <v>17.6</v>
      </c>
      <c r="D11" s="91" t="n">
        <v>26.4</v>
      </c>
      <c r="E11" s="92" t="n">
        <v>-108786553.990161</v>
      </c>
      <c r="F11" s="92" t="n">
        <v>-74742208.9650106</v>
      </c>
      <c r="G11" s="92" t="n">
        <v>34044345.0251502</v>
      </c>
      <c r="H11" s="92" t="n">
        <v>61213248.6530387</v>
      </c>
      <c r="I11" s="29" t="s">
        <v>400</v>
      </c>
      <c r="J11" s="33" t="s">
        <v>398</v>
      </c>
    </row>
    <row r="12" customFormat="false" ht="53.7" hidden="false" customHeight="false" outlineLevel="0" collapsed="false">
      <c r="A12" s="22" t="s">
        <v>402</v>
      </c>
      <c r="B12" s="89" t="n">
        <v>0.1</v>
      </c>
      <c r="C12" s="89" t="n">
        <v>0.08</v>
      </c>
      <c r="D12" s="89" t="n">
        <v>0.12</v>
      </c>
      <c r="E12" s="90" t="n">
        <v>-82737609.1921947</v>
      </c>
      <c r="F12" s="90" t="n">
        <v>-100791153.762977</v>
      </c>
      <c r="G12" s="90" t="n">
        <v>18053544.5707819</v>
      </c>
      <c r="H12" s="90" t="n">
        <v>30571623.0734732</v>
      </c>
      <c r="I12" s="23" t="s">
        <v>403</v>
      </c>
      <c r="J12" s="27" t="s">
        <v>398</v>
      </c>
    </row>
    <row r="13" customFormat="false" ht="53.7" hidden="false" customHeight="false" outlineLevel="0" collapsed="false">
      <c r="A13" s="28" t="s">
        <v>404</v>
      </c>
      <c r="B13" s="91" t="n">
        <v>8403.36</v>
      </c>
      <c r="C13" s="91" t="n">
        <v>6722.69</v>
      </c>
      <c r="D13" s="91" t="n">
        <v>10084.03</v>
      </c>
      <c r="E13" s="92" t="n">
        <v>-82737619.9340555</v>
      </c>
      <c r="F13" s="92" t="n">
        <v>-100791143.021116</v>
      </c>
      <c r="G13" s="92" t="n">
        <v>18053523.0870604</v>
      </c>
      <c r="H13" s="92" t="n">
        <v>30571586.6932358</v>
      </c>
      <c r="I13" s="29" t="s">
        <v>403</v>
      </c>
      <c r="J13" s="33" t="s">
        <v>398</v>
      </c>
    </row>
    <row r="14" customFormat="false" ht="53.7" hidden="false" customHeight="false" outlineLevel="0" collapsed="false">
      <c r="A14" s="22" t="s">
        <v>353</v>
      </c>
      <c r="B14" s="89" t="n">
        <v>759720</v>
      </c>
      <c r="C14" s="89" t="n">
        <v>607776</v>
      </c>
      <c r="D14" s="89" t="n">
        <v>911664</v>
      </c>
      <c r="E14" s="90" t="n">
        <v>-85740332.8210208</v>
      </c>
      <c r="F14" s="90" t="n">
        <v>-97788430.1341506</v>
      </c>
      <c r="G14" s="90" t="n">
        <v>12048097.3131298</v>
      </c>
      <c r="H14" s="90" t="n">
        <v>19941409.7150419</v>
      </c>
      <c r="I14" s="23" t="s">
        <v>405</v>
      </c>
      <c r="J14" s="27" t="s">
        <v>398</v>
      </c>
    </row>
    <row r="15" customFormat="false" ht="53.7" hidden="false" customHeight="false" outlineLevel="0" collapsed="false">
      <c r="A15" s="28" t="s">
        <v>406</v>
      </c>
      <c r="B15" s="91" t="n">
        <v>550</v>
      </c>
      <c r="C15" s="91" t="n">
        <v>440</v>
      </c>
      <c r="D15" s="91" t="n">
        <v>660</v>
      </c>
      <c r="E15" s="92" t="n">
        <v>-85856358.0715136</v>
      </c>
      <c r="F15" s="92" t="n">
        <v>-97672404.8836578</v>
      </c>
      <c r="G15" s="92" t="n">
        <v>11816046.8121442</v>
      </c>
      <c r="H15" s="92" t="n">
        <v>20009130.5030491</v>
      </c>
      <c r="I15" s="29" t="s">
        <v>405</v>
      </c>
      <c r="J15" s="33" t="s">
        <v>398</v>
      </c>
    </row>
    <row r="16" customFormat="false" ht="53.7" hidden="false" customHeight="false" outlineLevel="0" collapsed="false">
      <c r="A16" s="22" t="s">
        <v>6</v>
      </c>
      <c r="B16" s="89" t="n">
        <v>20.46</v>
      </c>
      <c r="C16" s="89" t="n">
        <v>16.368</v>
      </c>
      <c r="D16" s="89" t="n">
        <v>24.552</v>
      </c>
      <c r="E16" s="90" t="n">
        <v>-96596195.7129106</v>
      </c>
      <c r="F16" s="90" t="n">
        <v>-87564070.6254335</v>
      </c>
      <c r="G16" s="90" t="n">
        <v>9032125.08747709</v>
      </c>
      <c r="H16" s="90" t="n">
        <v>0</v>
      </c>
      <c r="I16" s="23" t="s">
        <v>407</v>
      </c>
      <c r="J16" s="27" t="s">
        <v>398</v>
      </c>
    </row>
    <row r="17" customFormat="false" ht="43.25" hidden="false" customHeight="false" outlineLevel="0" collapsed="false">
      <c r="A17" s="28" t="s">
        <v>225</v>
      </c>
      <c r="B17" s="91" t="n">
        <v>12000000</v>
      </c>
      <c r="C17" s="91" t="n">
        <v>9600000</v>
      </c>
      <c r="D17" s="91" t="n">
        <v>15600000</v>
      </c>
      <c r="E17" s="92" t="n">
        <v>-89113197.9863176</v>
      </c>
      <c r="F17" s="92" t="n">
        <v>-95741156.7144878</v>
      </c>
      <c r="G17" s="92" t="n">
        <v>6627958.7281702</v>
      </c>
      <c r="H17" s="92" t="n">
        <v>6210000</v>
      </c>
      <c r="I17" s="29" t="s">
        <v>408</v>
      </c>
      <c r="J17" s="33" t="s">
        <v>409</v>
      </c>
    </row>
    <row r="18" customFormat="false" ht="43.25" hidden="false" customHeight="false" outlineLevel="0" collapsed="false">
      <c r="A18" s="22" t="s">
        <v>410</v>
      </c>
      <c r="B18" s="89" t="n">
        <v>10120237</v>
      </c>
      <c r="C18" s="89" t="n">
        <v>8096189.6</v>
      </c>
      <c r="D18" s="89" t="n">
        <v>13156308.1</v>
      </c>
      <c r="E18" s="90" t="n">
        <v>-89193115.1399658</v>
      </c>
      <c r="F18" s="90" t="n">
        <v>-95621280.9840155</v>
      </c>
      <c r="G18" s="90" t="n">
        <v>6428165.84404966</v>
      </c>
      <c r="H18" s="90" t="n">
        <v>6022806.04462497</v>
      </c>
      <c r="I18" s="23" t="s">
        <v>408</v>
      </c>
      <c r="J18" s="27" t="s">
        <v>409</v>
      </c>
    </row>
    <row r="19" customFormat="false" ht="53.7" hidden="false" customHeight="false" outlineLevel="0" collapsed="false">
      <c r="A19" s="28" t="s">
        <v>411</v>
      </c>
      <c r="B19" s="91" t="n">
        <v>300</v>
      </c>
      <c r="C19" s="91" t="n">
        <v>240</v>
      </c>
      <c r="D19" s="91" t="n">
        <v>360</v>
      </c>
      <c r="E19" s="92" t="n">
        <v>-88695278.4094963</v>
      </c>
      <c r="F19" s="92" t="n">
        <v>-94833484.5456751</v>
      </c>
      <c r="G19" s="92" t="n">
        <v>6138206.13617882</v>
      </c>
      <c r="H19" s="92" t="n">
        <v>10394353.5080774</v>
      </c>
      <c r="I19" s="29" t="s">
        <v>408</v>
      </c>
      <c r="J19" s="33" t="s">
        <v>398</v>
      </c>
    </row>
    <row r="20" customFormat="false" ht="53.7" hidden="false" customHeight="false" outlineLevel="0" collapsed="false">
      <c r="A20" s="22" t="s">
        <v>412</v>
      </c>
      <c r="B20" s="89" t="n">
        <v>220</v>
      </c>
      <c r="C20" s="89" t="n">
        <v>176</v>
      </c>
      <c r="D20" s="89" t="n">
        <v>264</v>
      </c>
      <c r="E20" s="90" t="n">
        <v>-89513705.8943201</v>
      </c>
      <c r="F20" s="90" t="n">
        <v>-94015057.0608512</v>
      </c>
      <c r="G20" s="90" t="n">
        <v>4501351.16653113</v>
      </c>
      <c r="H20" s="90" t="n">
        <v>7622525.90592344</v>
      </c>
      <c r="I20" s="23" t="s">
        <v>408</v>
      </c>
      <c r="J20" s="27" t="s">
        <v>398</v>
      </c>
    </row>
    <row r="21" customFormat="false" ht="43.25" hidden="false" customHeight="false" outlineLevel="0" collapsed="false">
      <c r="A21" s="28" t="s">
        <v>413</v>
      </c>
      <c r="B21" s="91" t="n">
        <v>30</v>
      </c>
      <c r="C21" s="91" t="n">
        <v>30</v>
      </c>
      <c r="D21" s="91" t="n">
        <v>60</v>
      </c>
      <c r="E21" s="92" t="n">
        <v>-91764381.4775857</v>
      </c>
      <c r="F21" s="92" t="n">
        <v>-95271186.2920391</v>
      </c>
      <c r="G21" s="92" t="n">
        <v>3506804.81445341</v>
      </c>
      <c r="H21" s="92" t="n">
        <v>0</v>
      </c>
      <c r="I21" s="29" t="s">
        <v>408</v>
      </c>
      <c r="J21" s="33" t="s">
        <v>414</v>
      </c>
    </row>
    <row r="22" customFormat="false" ht="53.7" hidden="false" customHeight="false" outlineLevel="0" collapsed="false">
      <c r="A22" s="22" t="s">
        <v>415</v>
      </c>
      <c r="B22" s="89" t="n">
        <v>5</v>
      </c>
      <c r="C22" s="89" t="n">
        <v>4</v>
      </c>
      <c r="D22" s="89" t="n">
        <v>6</v>
      </c>
      <c r="E22" s="90" t="n">
        <v>-90890771.5195976</v>
      </c>
      <c r="F22" s="90" t="n">
        <v>-92637991.4355738</v>
      </c>
      <c r="G22" s="90" t="n">
        <v>1747219.91597618</v>
      </c>
      <c r="H22" s="90" t="n">
        <v>2958718.0782292</v>
      </c>
      <c r="I22" s="23"/>
      <c r="J22" s="27" t="s">
        <v>398</v>
      </c>
    </row>
    <row r="23" customFormat="false" ht="53.7" hidden="false" customHeight="false" outlineLevel="0" collapsed="false">
      <c r="A23" s="28" t="s">
        <v>232</v>
      </c>
      <c r="B23" s="91" t="n">
        <v>15</v>
      </c>
      <c r="C23" s="91" t="n">
        <v>12</v>
      </c>
      <c r="D23" s="91" t="n">
        <v>18</v>
      </c>
      <c r="E23" s="92" t="n">
        <v>-91083192.3694699</v>
      </c>
      <c r="F23" s="92" t="n">
        <v>-92445570.5857015</v>
      </c>
      <c r="G23" s="92" t="n">
        <v>1362378.21623163</v>
      </c>
      <c r="H23" s="92" t="n">
        <v>1276466.71769999</v>
      </c>
      <c r="I23" s="29"/>
      <c r="J23" s="33" t="s">
        <v>398</v>
      </c>
    </row>
    <row r="24" customFormat="false" ht="53.7" hidden="false" customHeight="false" outlineLevel="0" collapsed="false">
      <c r="A24" s="93" t="s">
        <v>239</v>
      </c>
      <c r="B24" s="94" t="n">
        <v>10</v>
      </c>
      <c r="C24" s="94" t="n">
        <v>8</v>
      </c>
      <c r="D24" s="94" t="n">
        <v>12</v>
      </c>
      <c r="E24" s="95" t="n">
        <v>-91764381.4775857</v>
      </c>
      <c r="F24" s="95" t="n">
        <v>-91764381.4775857</v>
      </c>
      <c r="G24" s="95" t="n">
        <v>0</v>
      </c>
      <c r="H24" s="95" t="n">
        <v>0</v>
      </c>
      <c r="I24" s="96"/>
      <c r="J24" s="97" t="s">
        <v>398</v>
      </c>
    </row>
  </sheetData>
  <mergeCells count="2">
    <mergeCell ref="A1:G1"/>
    <mergeCell ref="A2:G2"/>
  </mergeCells>
  <conditionalFormatting sqref="B4">
    <cfRule type="expression" priority="2" aboveAverage="0" equalAverage="0" bottom="0" percent="0" rank="0" text="" dxfId="0">
      <formula>EXACT(B4,"VIGENTE")</formula>
    </cfRule>
    <cfRule type="expression" priority="3" aboveAverage="0" equalAverage="0" bottom="0" percent="0" rank="0" text="" dxfId="1">
      <formula>NOT(EXACT(B4,"VIGENTE"))</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8.6"/>
    <col collapsed="false" customWidth="true" hidden="false" outlineLevel="0" max="2" min="2" style="0" width="17.37"/>
    <col collapsed="false" customWidth="true" hidden="false" outlineLevel="0" max="3" min="3" style="0" width="26.56"/>
    <col collapsed="false" customWidth="true" hidden="false" outlineLevel="0" max="4" min="4" style="0" width="18.39"/>
    <col collapsed="false" customWidth="true" hidden="false" outlineLevel="0" max="5" min="5" style="0" width="26.56"/>
    <col collapsed="false" customWidth="true" hidden="false" outlineLevel="0" max="6" min="6" style="0" width="18.39"/>
    <col collapsed="false" customWidth="true" hidden="false" outlineLevel="0" max="7" min="7" style="0" width="45.96"/>
  </cols>
  <sheetData>
    <row r="1" customFormat="false" ht="25.5" hidden="false" customHeight="true" outlineLevel="0" collapsed="false">
      <c r="A1" s="1" t="s">
        <v>416</v>
      </c>
      <c r="B1" s="1"/>
      <c r="C1" s="1"/>
      <c r="D1" s="1"/>
      <c r="E1" s="1"/>
      <c r="F1" s="1"/>
      <c r="G1" s="1"/>
    </row>
    <row r="2" customFormat="false" ht="18.45" hidden="false" customHeight="true" outlineLevel="0" collapsed="false">
      <c r="A2" s="2" t="s">
        <v>417</v>
      </c>
      <c r="B2" s="2"/>
      <c r="C2" s="2"/>
      <c r="D2" s="2"/>
      <c r="E2" s="2"/>
      <c r="F2" s="2"/>
      <c r="G2" s="2"/>
    </row>
    <row r="4" customFormat="false" ht="12.8" hidden="false" customHeight="false" outlineLevel="0" collapsed="false">
      <c r="A4" s="86" t="s">
        <v>383</v>
      </c>
      <c r="B4" s="87" t="str">
        <f aca="false">IF(ABS(Calculos!$B$47-(-91764381.4776))&gt;1,"DESACTUALIZADO — reejecute generar_modelo_excel.py","VIGENTE")</f>
        <v>VIGENTE</v>
      </c>
    </row>
    <row r="5" customFormat="false" ht="12.8" hidden="false" customHeight="false" outlineLevel="0" collapsed="false">
      <c r="A5" s="88" t="s">
        <v>384</v>
      </c>
    </row>
    <row r="6" customFormat="false" ht="168.65" hidden="false" customHeight="false" outlineLevel="0" collapsed="false">
      <c r="A6" s="98" t="s">
        <v>418</v>
      </c>
    </row>
    <row r="8" customFormat="false" ht="23.85" hidden="false" customHeight="false" outlineLevel="0" collapsed="false">
      <c r="A8" s="18" t="s">
        <v>33</v>
      </c>
      <c r="B8" s="20" t="s">
        <v>41</v>
      </c>
      <c r="C8" s="20" t="s">
        <v>419</v>
      </c>
      <c r="D8" s="20" t="s">
        <v>420</v>
      </c>
      <c r="E8" s="20" t="s">
        <v>421</v>
      </c>
      <c r="F8" s="20" t="s">
        <v>420</v>
      </c>
      <c r="G8" s="21" t="s">
        <v>392</v>
      </c>
    </row>
    <row r="9" customFormat="false" ht="53.7" hidden="false" customHeight="false" outlineLevel="0" collapsed="false">
      <c r="A9" s="22" t="s">
        <v>393</v>
      </c>
      <c r="B9" s="89" t="n">
        <v>4200</v>
      </c>
      <c r="C9" s="89" t="n">
        <v>6151.68765439689</v>
      </c>
      <c r="D9" s="99" t="n">
        <v>0.464687536761165</v>
      </c>
      <c r="E9" s="23" t="s">
        <v>422</v>
      </c>
      <c r="F9" s="23" t="s">
        <v>423</v>
      </c>
      <c r="G9" s="27" t="s">
        <v>395</v>
      </c>
    </row>
    <row r="10" customFormat="false" ht="43.25" hidden="false" customHeight="false" outlineLevel="0" collapsed="false">
      <c r="A10" s="28" t="s">
        <v>410</v>
      </c>
      <c r="B10" s="91" t="n">
        <v>10120237</v>
      </c>
      <c r="C10" s="29" t="s">
        <v>422</v>
      </c>
      <c r="D10" s="29" t="s">
        <v>423</v>
      </c>
      <c r="E10" s="29" t="s">
        <v>422</v>
      </c>
      <c r="F10" s="29" t="s">
        <v>423</v>
      </c>
      <c r="G10" s="33" t="s">
        <v>409</v>
      </c>
    </row>
    <row r="11" customFormat="false" ht="43.25" hidden="false" customHeight="false" outlineLevel="0" collapsed="false">
      <c r="A11" s="22" t="s">
        <v>225</v>
      </c>
      <c r="B11" s="89" t="n">
        <v>12000000</v>
      </c>
      <c r="C11" s="23" t="s">
        <v>422</v>
      </c>
      <c r="D11" s="23" t="s">
        <v>423</v>
      </c>
      <c r="E11" s="23" t="s">
        <v>422</v>
      </c>
      <c r="F11" s="23" t="s">
        <v>423</v>
      </c>
      <c r="G11" s="27" t="s">
        <v>409</v>
      </c>
    </row>
    <row r="12" customFormat="false" ht="43.25" hidden="false" customHeight="false" outlineLevel="0" collapsed="false">
      <c r="A12" s="28" t="s">
        <v>413</v>
      </c>
      <c r="B12" s="91" t="n">
        <v>30</v>
      </c>
      <c r="C12" s="29" t="s">
        <v>422</v>
      </c>
      <c r="D12" s="29" t="s">
        <v>423</v>
      </c>
      <c r="E12" s="29" t="s">
        <v>422</v>
      </c>
      <c r="F12" s="29" t="s">
        <v>423</v>
      </c>
      <c r="G12" s="33" t="s">
        <v>414</v>
      </c>
    </row>
    <row r="13" customFormat="false" ht="53.7" hidden="false" customHeight="false" outlineLevel="0" collapsed="false">
      <c r="A13" s="22" t="s">
        <v>399</v>
      </c>
      <c r="B13" s="89" t="n">
        <v>60</v>
      </c>
      <c r="C13" s="89" t="n">
        <v>134.819963246584</v>
      </c>
      <c r="D13" s="99" t="n">
        <v>1.24699938744307</v>
      </c>
      <c r="E13" s="89" t="n">
        <v>95.5679637148977</v>
      </c>
      <c r="F13" s="99" t="n">
        <v>0.592799395248294</v>
      </c>
      <c r="G13" s="27" t="s">
        <v>398</v>
      </c>
    </row>
    <row r="14" customFormat="false" ht="53.7" hidden="false" customHeight="false" outlineLevel="0" collapsed="false">
      <c r="A14" s="28" t="s">
        <v>401</v>
      </c>
      <c r="B14" s="91" t="n">
        <v>22</v>
      </c>
      <c r="C14" s="91" t="n">
        <v>49.4339865237474</v>
      </c>
      <c r="D14" s="100" t="n">
        <v>1.24699938744307</v>
      </c>
      <c r="E14" s="91" t="n">
        <v>35.0415866954625</v>
      </c>
      <c r="F14" s="100" t="n">
        <v>0.592799395248294</v>
      </c>
      <c r="G14" s="33" t="s">
        <v>398</v>
      </c>
    </row>
    <row r="15" customFormat="false" ht="53.7" hidden="false" customHeight="false" outlineLevel="0" collapsed="false">
      <c r="A15" s="22" t="s">
        <v>404</v>
      </c>
      <c r="B15" s="89" t="n">
        <v>8403.36</v>
      </c>
      <c r="C15" s="23" t="s">
        <v>422</v>
      </c>
      <c r="D15" s="23" t="s">
        <v>423</v>
      </c>
      <c r="E15" s="23" t="s">
        <v>422</v>
      </c>
      <c r="F15" s="23" t="s">
        <v>423</v>
      </c>
      <c r="G15" s="27" t="s">
        <v>398</v>
      </c>
    </row>
    <row r="16" customFormat="false" ht="53.7" hidden="false" customHeight="false" outlineLevel="0" collapsed="false">
      <c r="A16" s="28" t="s">
        <v>402</v>
      </c>
      <c r="B16" s="91" t="n">
        <v>0.1</v>
      </c>
      <c r="C16" s="29" t="s">
        <v>422</v>
      </c>
      <c r="D16" s="29" t="s">
        <v>423</v>
      </c>
      <c r="E16" s="29" t="s">
        <v>422</v>
      </c>
      <c r="F16" s="29" t="s">
        <v>423</v>
      </c>
      <c r="G16" s="33" t="s">
        <v>398</v>
      </c>
    </row>
    <row r="17" customFormat="false" ht="53.7" hidden="false" customHeight="false" outlineLevel="0" collapsed="false">
      <c r="A17" s="22" t="s">
        <v>396</v>
      </c>
      <c r="B17" s="89" t="n">
        <v>2393830</v>
      </c>
      <c r="C17" s="23" t="s">
        <v>422</v>
      </c>
      <c r="D17" s="23" t="s">
        <v>423</v>
      </c>
      <c r="E17" s="89" t="n">
        <v>1102366.41911813</v>
      </c>
      <c r="F17" s="99" t="n">
        <v>-0.539496781677008</v>
      </c>
      <c r="G17" s="27" t="s">
        <v>398</v>
      </c>
    </row>
    <row r="18" customFormat="false" ht="53.7" hidden="false" customHeight="false" outlineLevel="0" collapsed="false">
      <c r="A18" s="28" t="s">
        <v>353</v>
      </c>
      <c r="B18" s="91" t="n">
        <v>759720</v>
      </c>
      <c r="C18" s="29" t="s">
        <v>422</v>
      </c>
      <c r="D18" s="29" t="s">
        <v>423</v>
      </c>
      <c r="E18" s="29" t="s">
        <v>422</v>
      </c>
      <c r="F18" s="29" t="s">
        <v>423</v>
      </c>
      <c r="G18" s="33" t="s">
        <v>398</v>
      </c>
    </row>
    <row r="19" customFormat="false" ht="53.7" hidden="false" customHeight="false" outlineLevel="0" collapsed="false">
      <c r="A19" s="22" t="s">
        <v>6</v>
      </c>
      <c r="B19" s="89" t="n">
        <v>20.46</v>
      </c>
      <c r="C19" s="23" t="s">
        <v>422</v>
      </c>
      <c r="D19" s="23" t="s">
        <v>423</v>
      </c>
      <c r="E19" s="23" t="s">
        <v>422</v>
      </c>
      <c r="F19" s="23" t="s">
        <v>423</v>
      </c>
      <c r="G19" s="27" t="s">
        <v>398</v>
      </c>
    </row>
    <row r="20" customFormat="false" ht="53.7" hidden="false" customHeight="false" outlineLevel="0" collapsed="false">
      <c r="A20" s="28" t="s">
        <v>232</v>
      </c>
      <c r="B20" s="91" t="n">
        <v>15</v>
      </c>
      <c r="C20" s="29" t="s">
        <v>422</v>
      </c>
      <c r="D20" s="29" t="s">
        <v>423</v>
      </c>
      <c r="E20" s="29" t="s">
        <v>422</v>
      </c>
      <c r="F20" s="29" t="s">
        <v>423</v>
      </c>
      <c r="G20" s="33" t="s">
        <v>398</v>
      </c>
    </row>
    <row r="21" customFormat="false" ht="53.7" hidden="false" customHeight="false" outlineLevel="0" collapsed="false">
      <c r="A21" s="22" t="s">
        <v>415</v>
      </c>
      <c r="B21" s="89" t="n">
        <v>5</v>
      </c>
      <c r="C21" s="23" t="s">
        <v>422</v>
      </c>
      <c r="D21" s="23" t="s">
        <v>423</v>
      </c>
      <c r="E21" s="23" t="s">
        <v>422</v>
      </c>
      <c r="F21" s="23" t="s">
        <v>423</v>
      </c>
      <c r="G21" s="27" t="s">
        <v>398</v>
      </c>
    </row>
    <row r="22" customFormat="false" ht="53.7" hidden="false" customHeight="false" outlineLevel="0" collapsed="false">
      <c r="A22" s="28" t="s">
        <v>239</v>
      </c>
      <c r="B22" s="91" t="n">
        <v>10</v>
      </c>
      <c r="C22" s="29" t="s">
        <v>422</v>
      </c>
      <c r="D22" s="29" t="s">
        <v>423</v>
      </c>
      <c r="E22" s="29" t="s">
        <v>422</v>
      </c>
      <c r="F22" s="29" t="s">
        <v>423</v>
      </c>
      <c r="G22" s="33" t="s">
        <v>398</v>
      </c>
    </row>
    <row r="23" customFormat="false" ht="53.7" hidden="false" customHeight="false" outlineLevel="0" collapsed="false">
      <c r="A23" s="22" t="s">
        <v>406</v>
      </c>
      <c r="B23" s="89" t="n">
        <v>550</v>
      </c>
      <c r="C23" s="23" t="s">
        <v>422</v>
      </c>
      <c r="D23" s="23" t="s">
        <v>423</v>
      </c>
      <c r="E23" s="23" t="s">
        <v>422</v>
      </c>
      <c r="F23" s="23" t="s">
        <v>423</v>
      </c>
      <c r="G23" s="27" t="s">
        <v>398</v>
      </c>
    </row>
    <row r="24" customFormat="false" ht="53.7" hidden="false" customHeight="false" outlineLevel="0" collapsed="false">
      <c r="A24" s="28" t="s">
        <v>412</v>
      </c>
      <c r="B24" s="91" t="n">
        <v>220</v>
      </c>
      <c r="C24" s="29" t="s">
        <v>422</v>
      </c>
      <c r="D24" s="29" t="s">
        <v>423</v>
      </c>
      <c r="E24" s="29" t="s">
        <v>422</v>
      </c>
      <c r="F24" s="29" t="s">
        <v>423</v>
      </c>
      <c r="G24" s="33" t="s">
        <v>398</v>
      </c>
    </row>
    <row r="25" customFormat="false" ht="53.7" hidden="false" customHeight="false" outlineLevel="0" collapsed="false">
      <c r="A25" s="93" t="s">
        <v>411</v>
      </c>
      <c r="B25" s="94" t="n">
        <v>300</v>
      </c>
      <c r="C25" s="96" t="s">
        <v>422</v>
      </c>
      <c r="D25" s="96" t="s">
        <v>423</v>
      </c>
      <c r="E25" s="96" t="s">
        <v>422</v>
      </c>
      <c r="F25" s="96" t="s">
        <v>423</v>
      </c>
      <c r="G25" s="97" t="s">
        <v>398</v>
      </c>
    </row>
  </sheetData>
  <mergeCells count="2">
    <mergeCell ref="A1:G1"/>
    <mergeCell ref="A2:G2"/>
  </mergeCells>
  <conditionalFormatting sqref="B4">
    <cfRule type="expression" priority="2" aboveAverage="0" equalAverage="0" bottom="0" percent="0" rank="0" text="" dxfId="0">
      <formula>EXACT(B4,"VIGENTE")</formula>
    </cfRule>
    <cfRule type="expression" priority="3" aboveAverage="0" equalAverage="0" bottom="0" percent="0" rank="0" text="" dxfId="1">
      <formula>NOT(EXACT(B4,"VIGENTE"))</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4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1.67"/>
    <col collapsed="false" customWidth="true" hidden="false" outlineLevel="0" max="3" min="2" style="0" width="23.49"/>
    <col collapsed="false" customWidth="true" hidden="false" outlineLevel="0" max="4" min="4" style="0" width="17.37"/>
    <col collapsed="false" customWidth="true" hidden="false" outlineLevel="0" max="5" min="5" style="0" width="45.96"/>
  </cols>
  <sheetData>
    <row r="1" customFormat="false" ht="25.5" hidden="false" customHeight="true" outlineLevel="0" collapsed="false">
      <c r="A1" s="1" t="s">
        <v>424</v>
      </c>
      <c r="B1" s="1"/>
      <c r="C1" s="1"/>
      <c r="D1" s="1"/>
      <c r="E1" s="1"/>
      <c r="F1" s="1"/>
      <c r="G1" s="1"/>
    </row>
    <row r="2" customFormat="false" ht="18.45" hidden="false" customHeight="true" outlineLevel="0" collapsed="false">
      <c r="A2" s="2" t="s">
        <v>425</v>
      </c>
      <c r="B2" s="2"/>
      <c r="C2" s="2"/>
      <c r="D2" s="2"/>
      <c r="E2" s="2"/>
      <c r="F2" s="2"/>
      <c r="G2" s="2"/>
    </row>
    <row r="4" customFormat="false" ht="39.7" hidden="false" customHeight="true" outlineLevel="0" collapsed="false">
      <c r="A4" s="98" t="s">
        <v>426</v>
      </c>
      <c r="B4" s="98"/>
      <c r="C4" s="98"/>
      <c r="D4" s="98"/>
      <c r="E4" s="98"/>
      <c r="F4" s="98"/>
      <c r="G4" s="98"/>
    </row>
    <row r="6" customFormat="false" ht="12.8" hidden="false" customHeight="false" outlineLevel="0" collapsed="false">
      <c r="A6" s="86" t="s">
        <v>383</v>
      </c>
      <c r="B6" s="87" t="str">
        <f aca="false">IF(ABS(Calculos!$B$47-(-91764381.4776))&gt;1,"DESACTUALIZADO — reejecute generar_modelo_excel.py","VIGENTE")</f>
        <v>VIGENTE</v>
      </c>
    </row>
    <row r="7" customFormat="false" ht="12.8" hidden="false" customHeight="false" outlineLevel="0" collapsed="false">
      <c r="A7" s="88" t="s">
        <v>384</v>
      </c>
    </row>
    <row r="9" customFormat="false" ht="13.8" hidden="false" customHeight="false" outlineLevel="0" collapsed="false">
      <c r="A9" s="101" t="s">
        <v>427</v>
      </c>
    </row>
    <row r="10" customFormat="false" ht="12.8" hidden="false" customHeight="false" outlineLevel="0" collapsed="false">
      <c r="A10" s="18" t="s">
        <v>33</v>
      </c>
      <c r="B10" s="20" t="s">
        <v>428</v>
      </c>
      <c r="C10" s="20" t="s">
        <v>429</v>
      </c>
      <c r="D10" s="20" t="s">
        <v>430</v>
      </c>
      <c r="E10" s="21" t="s">
        <v>431</v>
      </c>
    </row>
    <row r="11" customFormat="false" ht="53.7" hidden="false" customHeight="false" outlineLevel="0" collapsed="false">
      <c r="A11" s="22" t="s">
        <v>393</v>
      </c>
      <c r="B11" s="89" t="n">
        <v>3024</v>
      </c>
      <c r="C11" s="89" t="n">
        <v>4200</v>
      </c>
      <c r="D11" s="89" t="n">
        <v>5040</v>
      </c>
      <c r="E11" s="27" t="s">
        <v>395</v>
      </c>
    </row>
    <row r="12" customFormat="false" ht="43.25" hidden="false" customHeight="false" outlineLevel="0" collapsed="false">
      <c r="A12" s="28" t="s">
        <v>410</v>
      </c>
      <c r="B12" s="91" t="n">
        <v>8096189.6</v>
      </c>
      <c r="C12" s="91" t="n">
        <v>10120237</v>
      </c>
      <c r="D12" s="91" t="n">
        <v>13156308.1</v>
      </c>
      <c r="E12" s="33" t="s">
        <v>409</v>
      </c>
    </row>
    <row r="13" customFormat="false" ht="43.25" hidden="false" customHeight="false" outlineLevel="0" collapsed="false">
      <c r="A13" s="22" t="s">
        <v>225</v>
      </c>
      <c r="B13" s="89" t="n">
        <v>9600000</v>
      </c>
      <c r="C13" s="89" t="n">
        <v>12000000</v>
      </c>
      <c r="D13" s="89" t="n">
        <v>15600000</v>
      </c>
      <c r="E13" s="27" t="s">
        <v>409</v>
      </c>
    </row>
    <row r="14" customFormat="false" ht="43.25" hidden="false" customHeight="false" outlineLevel="0" collapsed="false">
      <c r="A14" s="39" t="s">
        <v>413</v>
      </c>
      <c r="B14" s="102" t="n">
        <v>30</v>
      </c>
      <c r="C14" s="102" t="n">
        <v>30</v>
      </c>
      <c r="D14" s="102" t="n">
        <v>60</v>
      </c>
      <c r="E14" s="44" t="s">
        <v>414</v>
      </c>
    </row>
    <row r="17" customFormat="false" ht="13.8" hidden="false" customHeight="false" outlineLevel="0" collapsed="false">
      <c r="A17" s="101" t="s">
        <v>432</v>
      </c>
    </row>
    <row r="18" customFormat="false" ht="12.8" hidden="false" customHeight="false" outlineLevel="0" collapsed="false">
      <c r="A18" s="103" t="s">
        <v>433</v>
      </c>
      <c r="B18" s="104" t="n">
        <v>10000</v>
      </c>
    </row>
    <row r="19" customFormat="false" ht="12.8" hidden="false" customHeight="false" outlineLevel="0" collapsed="false">
      <c r="A19" s="105" t="s">
        <v>434</v>
      </c>
      <c r="B19" s="106" t="n">
        <v>20260804</v>
      </c>
    </row>
    <row r="20" customFormat="false" ht="18.55" hidden="false" customHeight="false" outlineLevel="0" collapsed="false">
      <c r="A20" s="105" t="s">
        <v>435</v>
      </c>
      <c r="B20" s="107" t="n">
        <v>-128129734.650963</v>
      </c>
    </row>
    <row r="21" customFormat="false" ht="18.55" hidden="false" customHeight="false" outlineLevel="0" collapsed="false">
      <c r="A21" s="105" t="s">
        <v>436</v>
      </c>
      <c r="B21" s="107" t="n">
        <v>-98394492.3328476</v>
      </c>
    </row>
    <row r="22" customFormat="false" ht="18.55" hidden="false" customHeight="false" outlineLevel="0" collapsed="false">
      <c r="A22" s="105" t="s">
        <v>437</v>
      </c>
      <c r="B22" s="107" t="n">
        <v>-73437127.2280897</v>
      </c>
    </row>
    <row r="23" customFormat="false" ht="18.55" hidden="false" customHeight="false" outlineLevel="0" collapsed="false">
      <c r="A23" s="105" t="s">
        <v>438</v>
      </c>
      <c r="B23" s="107" t="n">
        <v>-99590670.9298366</v>
      </c>
    </row>
    <row r="24" customFormat="false" ht="12.8" hidden="false" customHeight="false" outlineLevel="0" collapsed="false">
      <c r="A24" s="105" t="s">
        <v>439</v>
      </c>
      <c r="B24" s="108" t="n">
        <v>0</v>
      </c>
    </row>
    <row r="25" customFormat="false" ht="12.8" hidden="false" customHeight="false" outlineLevel="0" collapsed="false">
      <c r="A25" s="109" t="s">
        <v>440</v>
      </c>
      <c r="B25" s="110" t="n">
        <v>0</v>
      </c>
    </row>
    <row r="28" customFormat="false" ht="13.8" hidden="false" customHeight="false" outlineLevel="0" collapsed="false">
      <c r="A28" s="101" t="s">
        <v>441</v>
      </c>
    </row>
    <row r="29" customFormat="false" ht="12.8" hidden="false" customHeight="false" outlineLevel="0" collapsed="false">
      <c r="A29" s="111" t="s">
        <v>442</v>
      </c>
      <c r="B29" s="20" t="s">
        <v>443</v>
      </c>
      <c r="C29" s="20" t="s">
        <v>444</v>
      </c>
      <c r="D29" s="21" t="s">
        <v>445</v>
      </c>
    </row>
    <row r="30" customFormat="false" ht="12.8" hidden="false" customHeight="false" outlineLevel="0" collapsed="false">
      <c r="A30" s="112" t="n">
        <v>-153653076.614641</v>
      </c>
      <c r="B30" s="90" t="n">
        <v>-148422509.728276</v>
      </c>
      <c r="C30" s="89" t="n">
        <v>30</v>
      </c>
      <c r="D30" s="113" t="s">
        <v>408</v>
      </c>
    </row>
    <row r="31" customFormat="false" ht="12.8" hidden="false" customHeight="false" outlineLevel="0" collapsed="false">
      <c r="A31" s="112" t="n">
        <v>-148422509.728276</v>
      </c>
      <c r="B31" s="90" t="n">
        <v>-143191942.841912</v>
      </c>
      <c r="C31" s="89" t="n">
        <v>117</v>
      </c>
      <c r="D31" s="113" t="s">
        <v>405</v>
      </c>
    </row>
    <row r="32" customFormat="false" ht="12.8" hidden="false" customHeight="false" outlineLevel="0" collapsed="false">
      <c r="A32" s="112" t="n">
        <v>-143191942.841912</v>
      </c>
      <c r="B32" s="90" t="n">
        <v>-137961375.955547</v>
      </c>
      <c r="C32" s="89" t="n">
        <v>179</v>
      </c>
      <c r="D32" s="113" t="s">
        <v>446</v>
      </c>
    </row>
    <row r="33" customFormat="false" ht="12.8" hidden="false" customHeight="false" outlineLevel="0" collapsed="false">
      <c r="A33" s="112" t="n">
        <v>-137961375.955547</v>
      </c>
      <c r="B33" s="90" t="n">
        <v>-132730809.069183</v>
      </c>
      <c r="C33" s="89" t="n">
        <v>319</v>
      </c>
      <c r="D33" s="113" t="s">
        <v>447</v>
      </c>
    </row>
    <row r="34" customFormat="false" ht="12.8" hidden="false" customHeight="false" outlineLevel="0" collapsed="false">
      <c r="A34" s="112" t="n">
        <v>-132730809.069183</v>
      </c>
      <c r="B34" s="90" t="n">
        <v>-127500242.182819</v>
      </c>
      <c r="C34" s="89" t="n">
        <v>415</v>
      </c>
      <c r="D34" s="113" t="s">
        <v>448</v>
      </c>
    </row>
    <row r="35" customFormat="false" ht="12.8" hidden="false" customHeight="false" outlineLevel="0" collapsed="false">
      <c r="A35" s="112" t="n">
        <v>-127500242.182819</v>
      </c>
      <c r="B35" s="90" t="n">
        <v>-122269675.296454</v>
      </c>
      <c r="C35" s="89" t="n">
        <v>459</v>
      </c>
      <c r="D35" s="113" t="s">
        <v>449</v>
      </c>
    </row>
    <row r="36" customFormat="false" ht="12.8" hidden="false" customHeight="false" outlineLevel="0" collapsed="false">
      <c r="A36" s="112" t="n">
        <v>-122269675.296454</v>
      </c>
      <c r="B36" s="90" t="n">
        <v>-117039108.41009</v>
      </c>
      <c r="C36" s="89" t="n">
        <v>543</v>
      </c>
      <c r="D36" s="113" t="s">
        <v>450</v>
      </c>
    </row>
    <row r="37" customFormat="false" ht="12.8" hidden="false" customHeight="false" outlineLevel="0" collapsed="false">
      <c r="A37" s="112" t="n">
        <v>-117039108.41009</v>
      </c>
      <c r="B37" s="90" t="n">
        <v>-111808541.523725</v>
      </c>
      <c r="C37" s="89" t="n">
        <v>721</v>
      </c>
      <c r="D37" s="113" t="s">
        <v>451</v>
      </c>
    </row>
    <row r="38" customFormat="false" ht="12.8" hidden="false" customHeight="false" outlineLevel="0" collapsed="false">
      <c r="A38" s="112" t="n">
        <v>-111808541.523725</v>
      </c>
      <c r="B38" s="90" t="n">
        <v>-106577974.637361</v>
      </c>
      <c r="C38" s="89" t="n">
        <v>774</v>
      </c>
      <c r="D38" s="113" t="s">
        <v>394</v>
      </c>
    </row>
    <row r="39" customFormat="false" ht="12.8" hidden="false" customHeight="false" outlineLevel="0" collapsed="false">
      <c r="A39" s="112" t="n">
        <v>-106577974.637361</v>
      </c>
      <c r="B39" s="90" t="n">
        <v>-101347407.750996</v>
      </c>
      <c r="C39" s="89" t="n">
        <v>896</v>
      </c>
      <c r="D39" s="113" t="s">
        <v>452</v>
      </c>
    </row>
    <row r="40" customFormat="false" ht="12.8" hidden="false" customHeight="false" outlineLevel="0" collapsed="false">
      <c r="A40" s="112" t="n">
        <v>-101347407.750996</v>
      </c>
      <c r="B40" s="90" t="n">
        <v>-96116840.8646317</v>
      </c>
      <c r="C40" s="89" t="n">
        <v>943</v>
      </c>
      <c r="D40" s="113" t="s">
        <v>453</v>
      </c>
    </row>
    <row r="41" customFormat="false" ht="12.8" hidden="false" customHeight="false" outlineLevel="0" collapsed="false">
      <c r="A41" s="112" t="n">
        <v>-96116840.8646317</v>
      </c>
      <c r="B41" s="90" t="n">
        <v>-90886273.9782673</v>
      </c>
      <c r="C41" s="89" t="n">
        <v>1040</v>
      </c>
      <c r="D41" s="113" t="s">
        <v>454</v>
      </c>
    </row>
    <row r="42" customFormat="false" ht="12.8" hidden="false" customHeight="false" outlineLevel="0" collapsed="false">
      <c r="A42" s="112" t="n">
        <v>-90886273.9782673</v>
      </c>
      <c r="B42" s="90" t="n">
        <v>-85655707.0919028</v>
      </c>
      <c r="C42" s="89" t="n">
        <v>926</v>
      </c>
      <c r="D42" s="113" t="s">
        <v>453</v>
      </c>
    </row>
    <row r="43" customFormat="false" ht="12.8" hidden="false" customHeight="false" outlineLevel="0" collapsed="false">
      <c r="A43" s="112" t="n">
        <v>-85655707.0919028</v>
      </c>
      <c r="B43" s="90" t="n">
        <v>-80425140.2055384</v>
      </c>
      <c r="C43" s="89" t="n">
        <v>776</v>
      </c>
      <c r="D43" s="113" t="s">
        <v>394</v>
      </c>
    </row>
    <row r="44" customFormat="false" ht="12.8" hidden="false" customHeight="false" outlineLevel="0" collapsed="false">
      <c r="A44" s="112" t="n">
        <v>-80425140.2055384</v>
      </c>
      <c r="B44" s="90" t="n">
        <v>-75194573.3191739</v>
      </c>
      <c r="C44" s="89" t="n">
        <v>687</v>
      </c>
      <c r="D44" s="113" t="s">
        <v>455</v>
      </c>
    </row>
    <row r="45" customFormat="false" ht="12.8" hidden="false" customHeight="false" outlineLevel="0" collapsed="false">
      <c r="A45" s="112" t="n">
        <v>-75194573.3191739</v>
      </c>
      <c r="B45" s="90" t="n">
        <v>-69964006.4328094</v>
      </c>
      <c r="C45" s="89" t="n">
        <v>470</v>
      </c>
      <c r="D45" s="113" t="s">
        <v>456</v>
      </c>
    </row>
    <row r="46" customFormat="false" ht="12.8" hidden="false" customHeight="false" outlineLevel="0" collapsed="false">
      <c r="A46" s="112" t="n">
        <v>-69964006.4328094</v>
      </c>
      <c r="B46" s="90" t="n">
        <v>-64733439.546445</v>
      </c>
      <c r="C46" s="89" t="n">
        <v>372</v>
      </c>
      <c r="D46" s="113" t="s">
        <v>457</v>
      </c>
    </row>
    <row r="47" customFormat="false" ht="12.8" hidden="false" customHeight="false" outlineLevel="0" collapsed="false">
      <c r="A47" s="112" t="n">
        <v>-64733439.546445</v>
      </c>
      <c r="B47" s="90" t="n">
        <v>-59502872.6600805</v>
      </c>
      <c r="C47" s="89" t="n">
        <v>215</v>
      </c>
      <c r="D47" s="113" t="s">
        <v>458</v>
      </c>
    </row>
    <row r="48" customFormat="false" ht="12.8" hidden="false" customHeight="false" outlineLevel="0" collapsed="false">
      <c r="A48" s="112" t="n">
        <v>-59502872.6600805</v>
      </c>
      <c r="B48" s="90" t="n">
        <v>-54272305.7737161</v>
      </c>
      <c r="C48" s="89" t="n">
        <v>96</v>
      </c>
      <c r="D48" s="113" t="s">
        <v>405</v>
      </c>
    </row>
    <row r="49" customFormat="false" ht="12.8" hidden="false" customHeight="false" outlineLevel="0" collapsed="false">
      <c r="A49" s="114" t="n">
        <v>-54272305.7737161</v>
      </c>
      <c r="B49" s="95" t="n">
        <v>-49041738.8873516</v>
      </c>
      <c r="C49" s="94" t="n">
        <v>22</v>
      </c>
      <c r="D49" s="115" t="s">
        <v>408</v>
      </c>
    </row>
  </sheetData>
  <mergeCells count="3">
    <mergeCell ref="A1:G1"/>
    <mergeCell ref="A2:G2"/>
    <mergeCell ref="A4:G4"/>
  </mergeCells>
  <conditionalFormatting sqref="B6">
    <cfRule type="expression" priority="2" aboveAverage="0" equalAverage="0" bottom="0" percent="0" rank="0" text="" dxfId="0">
      <formula>EXACT(B6,"VIGENTE")</formula>
    </cfRule>
    <cfRule type="expression" priority="3" aboveAverage="0" equalAverage="0" bottom="0" percent="0" rank="0" text="" dxfId="1">
      <formula>NOT(EXACT(B6,"VIGENTE"))</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8.39"/>
    <col collapsed="false" customWidth="true" hidden="false" outlineLevel="0" max="2" min="2" style="0" width="26.56"/>
    <col collapsed="false" customWidth="true" hidden="false" outlineLevel="0" max="3" min="3" style="0" width="30.65"/>
    <col collapsed="false" customWidth="true" hidden="false" outlineLevel="0" max="4" min="4" style="0" width="45.96"/>
  </cols>
  <sheetData>
    <row r="1" customFormat="false" ht="25.5" hidden="false" customHeight="true" outlineLevel="0" collapsed="false">
      <c r="A1" s="1" t="s">
        <v>459</v>
      </c>
      <c r="B1" s="1"/>
      <c r="C1" s="1"/>
      <c r="D1" s="1"/>
      <c r="E1" s="1"/>
      <c r="F1" s="1"/>
      <c r="G1" s="1"/>
    </row>
    <row r="2" customFormat="false" ht="18.45" hidden="false" customHeight="true" outlineLevel="0" collapsed="false">
      <c r="A2" s="2" t="s">
        <v>460</v>
      </c>
      <c r="B2" s="2"/>
      <c r="C2" s="2"/>
      <c r="D2" s="2"/>
      <c r="E2" s="2"/>
      <c r="F2" s="2"/>
      <c r="G2" s="2"/>
    </row>
    <row r="4" customFormat="false" ht="13.8" hidden="false" customHeight="false" outlineLevel="0" collapsed="false">
      <c r="A4" s="101" t="s">
        <v>461</v>
      </c>
    </row>
    <row r="5" customFormat="false" ht="23.85" hidden="false" customHeight="false" outlineLevel="0" collapsed="false">
      <c r="A5" s="18" t="s">
        <v>462</v>
      </c>
      <c r="B5" s="20" t="s">
        <v>132</v>
      </c>
      <c r="C5" s="21" t="s">
        <v>38</v>
      </c>
    </row>
    <row r="6" customFormat="false" ht="53.7" hidden="false" customHeight="false" outlineLevel="0" collapsed="false">
      <c r="A6" s="22" t="s">
        <v>463</v>
      </c>
      <c r="B6" s="99" t="n">
        <v>0.045</v>
      </c>
      <c r="C6" s="27" t="s">
        <v>464</v>
      </c>
    </row>
    <row r="7" customFormat="false" ht="105.95" hidden="false" customHeight="false" outlineLevel="0" collapsed="false">
      <c r="A7" s="28" t="s">
        <v>465</v>
      </c>
      <c r="B7" s="100" t="n">
        <v>0.2046</v>
      </c>
      <c r="C7" s="33" t="s">
        <v>466</v>
      </c>
    </row>
    <row r="8" customFormat="false" ht="137.3" hidden="false" customHeight="false" outlineLevel="0" collapsed="false">
      <c r="A8" s="22" t="s">
        <v>467</v>
      </c>
      <c r="B8" s="99" t="n">
        <v>0.1596</v>
      </c>
      <c r="C8" s="27" t="s">
        <v>468</v>
      </c>
    </row>
    <row r="9" customFormat="false" ht="137.3" hidden="false" customHeight="false" outlineLevel="0" collapsed="false">
      <c r="A9" s="39" t="s">
        <v>469</v>
      </c>
      <c r="B9" s="116" t="n">
        <v>0.2046</v>
      </c>
      <c r="C9" s="44" t="s">
        <v>470</v>
      </c>
    </row>
    <row r="12" customFormat="false" ht="13.8" hidden="false" customHeight="false" outlineLevel="0" collapsed="false">
      <c r="A12" s="101" t="s">
        <v>471</v>
      </c>
    </row>
    <row r="13" customFormat="false" ht="12.8" hidden="false" customHeight="false" outlineLevel="0" collapsed="false">
      <c r="A13" s="111" t="s">
        <v>472</v>
      </c>
      <c r="B13" s="20" t="s">
        <v>7</v>
      </c>
      <c r="C13" s="21" t="s">
        <v>473</v>
      </c>
    </row>
    <row r="14" customFormat="false" ht="12.8" hidden="false" customHeight="false" outlineLevel="0" collapsed="false">
      <c r="A14" s="117" t="n">
        <v>0.05</v>
      </c>
      <c r="B14" s="90" t="n">
        <f aca="false">Calculos!$B$46*-1+Calculos!$B$40/(1+$A$14)^0+Calculos!$C$40/(1+$A$14)^1+Calculos!$D$40/(1+$A$14)^2+Calculos!$E$40/(1+$A$14)^3+Calculos!$F$40/(1+$A$14)^4+Calculos!$G$40/(1+$A$14)^5</f>
        <v>-153045677.405553</v>
      </c>
      <c r="C14" s="118"/>
    </row>
    <row r="15" customFormat="false" ht="12.8" hidden="false" customHeight="false" outlineLevel="0" collapsed="false">
      <c r="A15" s="117" t="n">
        <v>0.08</v>
      </c>
      <c r="B15" s="90" t="n">
        <f aca="false">Calculos!$B$46*-1+Calculos!$B$40/(1+$A$15)^0+Calculos!$C$40/(1+$A$15)^1+Calculos!$D$40/(1+$A$15)^2+Calculos!$E$40/(1+$A$15)^3+Calculos!$F$40/(1+$A$15)^4+Calculos!$G$40/(1+$A$15)^5</f>
        <v>-147504983.12461</v>
      </c>
      <c r="C15" s="118"/>
    </row>
    <row r="16" customFormat="false" ht="12.8" hidden="false" customHeight="false" outlineLevel="0" collapsed="false">
      <c r="A16" s="117" t="n">
        <v>0.11</v>
      </c>
      <c r="B16" s="90" t="n">
        <f aca="false">Calculos!$B$46*-1+Calculos!$B$40/(1+$A$16)^0+Calculos!$C$40/(1+$A$16)^1+Calculos!$D$40/(1+$A$16)^2+Calculos!$E$40/(1+$A$16)^3+Calculos!$F$40/(1+$A$16)^4+Calculos!$G$40/(1+$A$16)^5</f>
        <v>-142585340.47899</v>
      </c>
      <c r="C16" s="118"/>
    </row>
    <row r="17" customFormat="false" ht="12.8" hidden="false" customHeight="false" outlineLevel="0" collapsed="false">
      <c r="A17" s="117" t="n">
        <v>0.14</v>
      </c>
      <c r="B17" s="90" t="n">
        <f aca="false">Calculos!$B$46*-1+Calculos!$B$40/(1+$A$17)^0+Calculos!$C$40/(1+$A$17)^1+Calculos!$D$40/(1+$A$17)^2+Calculos!$E$40/(1+$A$17)^3+Calculos!$F$40/(1+$A$17)^4+Calculos!$G$40/(1+$A$17)^5</f>
        <v>-138198431.615743</v>
      </c>
      <c r="C17" s="118"/>
    </row>
    <row r="18" customFormat="false" ht="12.8" hidden="false" customHeight="false" outlineLevel="0" collapsed="false">
      <c r="A18" s="117" t="n">
        <v>0.17</v>
      </c>
      <c r="B18" s="90" t="n">
        <f aca="false">Calculos!$B$46*-1+Calculos!$B$40/(1+$A$18)^0+Calculos!$C$40/(1+$A$18)^1+Calculos!$D$40/(1+$A$18)^2+Calculos!$E$40/(1+$A$18)^3+Calculos!$F$40/(1+$A$18)^4+Calculos!$G$40/(1+$A$18)^5</f>
        <v>-134270774.178445</v>
      </c>
      <c r="C18" s="118"/>
    </row>
    <row r="19" customFormat="false" ht="12.8" hidden="false" customHeight="false" outlineLevel="0" collapsed="false">
      <c r="A19" s="117" t="n">
        <v>0.2</v>
      </c>
      <c r="B19" s="90" t="n">
        <f aca="false">Calculos!$B$46*-1+Calculos!$B$40/(1+$A$19)^0+Calculos!$C$40/(1+$A$19)^1+Calculos!$D$40/(1+$A$19)^2+Calculos!$E$40/(1+$A$19)^3+Calculos!$F$40/(1+$A$19)^4+Calculos!$G$40/(1+$A$19)^5</f>
        <v>-130740886.6248</v>
      </c>
      <c r="C19" s="118"/>
    </row>
    <row r="20" customFormat="false" ht="12.8" hidden="false" customHeight="false" outlineLevel="0" collapsed="false">
      <c r="A20" s="117" t="n">
        <v>0.23</v>
      </c>
      <c r="B20" s="90" t="n">
        <f aca="false">Calculos!$B$46*-1+Calculos!$B$40/(1+$A$20)^0+Calculos!$C$40/(1+$A$20)^1+Calculos!$D$40/(1+$A$20)^2+Calculos!$E$40/(1+$A$20)^3+Calculos!$F$40/(1+$A$20)^4+Calculos!$G$40/(1+$A$20)^5</f>
        <v>-127557055.232159</v>
      </c>
      <c r="C20" s="118"/>
    </row>
    <row r="21" customFormat="false" ht="12.8" hidden="false" customHeight="false" outlineLevel="0" collapsed="false">
      <c r="A21" s="117" t="n">
        <v>0.26</v>
      </c>
      <c r="B21" s="90" t="n">
        <f aca="false">Calculos!$B$46*-1+Calculos!$B$40/(1+$A$21)^0+Calculos!$C$40/(1+$A$21)^1+Calculos!$D$40/(1+$A$21)^2+Calculos!$E$40/(1+$A$21)^3+Calculos!$F$40/(1+$A$21)^4+Calculos!$G$40/(1+$A$21)^5</f>
        <v>-124675563.228105</v>
      </c>
      <c r="C21" s="118"/>
    </row>
    <row r="22" customFormat="false" ht="12.8" hidden="false" customHeight="false" outlineLevel="0" collapsed="false">
      <c r="A22" s="117" t="n">
        <v>0.29</v>
      </c>
      <c r="B22" s="90" t="n">
        <f aca="false">Calculos!$B$46*-1+Calculos!$B$40/(1+$A$22)^0+Calculos!$C$40/(1+$A$22)^1+Calculos!$D$40/(1+$A$22)^2+Calculos!$E$40/(1+$A$22)^3+Calculos!$F$40/(1+$A$22)^4+Calculos!$G$40/(1+$A$22)^5</f>
        <v>-122059277.431532</v>
      </c>
      <c r="C22" s="118"/>
    </row>
    <row r="23" customFormat="false" ht="12.8" hidden="false" customHeight="false" outlineLevel="0" collapsed="false">
      <c r="A23" s="117" t="n">
        <v>0.32</v>
      </c>
      <c r="B23" s="90" t="n">
        <f aca="false">Calculos!$B$46*-1+Calculos!$B$40/(1+$A$23)^0+Calculos!$C$40/(1+$A$23)^1+Calculos!$D$40/(1+$A$23)^2+Calculos!$E$40/(1+$A$23)^3+Calculos!$F$40/(1+$A$23)^4+Calculos!$G$40/(1+$A$23)^5</f>
        <v>-119676513.378244</v>
      </c>
      <c r="C23" s="118"/>
    </row>
    <row r="24" customFormat="false" ht="12.8" hidden="false" customHeight="false" outlineLevel="0" collapsed="false">
      <c r="A24" s="119" t="n">
        <v>0.35</v>
      </c>
      <c r="B24" s="95" t="n">
        <f aca="false">Calculos!$B$46*-1+Calculos!$B$40/(1+$A$24)^0+Calculos!$C$40/(1+$A$24)^1+Calculos!$D$40/(1+$A$24)^2+Calculos!$E$40/(1+$A$24)^3+Calculos!$F$40/(1+$A$24)^4+Calculos!$G$40/(1+$A$24)^5</f>
        <v>-117500118.794742</v>
      </c>
      <c r="C24" s="120"/>
    </row>
  </sheetData>
  <mergeCells count="2">
    <mergeCell ref="A1:G1"/>
    <mergeCell ref="A2:G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6.77"/>
    <col collapsed="false" customWidth="true" hidden="false" outlineLevel="0" max="2" min="2" style="0" width="26.56"/>
    <col collapsed="false" customWidth="true" hidden="false" outlineLevel="0" max="3" min="3" style="0" width="21.45"/>
    <col collapsed="false" customWidth="true" hidden="false" outlineLevel="0" max="7" min="4" style="0" width="23.49"/>
    <col collapsed="false" customWidth="true" hidden="false" outlineLevel="0" max="8" min="8" style="0" width="56.18"/>
  </cols>
  <sheetData>
    <row r="1" customFormat="false" ht="25.5" hidden="false" customHeight="true" outlineLevel="0" collapsed="false">
      <c r="A1" s="1" t="s">
        <v>474</v>
      </c>
      <c r="B1" s="1"/>
      <c r="C1" s="1"/>
      <c r="D1" s="1"/>
      <c r="E1" s="1"/>
      <c r="F1" s="1"/>
      <c r="G1" s="1"/>
    </row>
    <row r="2" customFormat="false" ht="18.45" hidden="false" customHeight="true" outlineLevel="0" collapsed="false">
      <c r="A2" s="2" t="s">
        <v>475</v>
      </c>
      <c r="B2" s="2"/>
      <c r="C2" s="2"/>
      <c r="D2" s="2"/>
      <c r="E2" s="2"/>
      <c r="F2" s="2"/>
      <c r="G2" s="2"/>
    </row>
    <row r="4" customFormat="false" ht="12.8" hidden="false" customHeight="false" outlineLevel="0" collapsed="false">
      <c r="A4" s="86" t="s">
        <v>383</v>
      </c>
      <c r="B4" s="87" t="str">
        <f aca="false">IF(ABS(Calculos!$B$47-(-91764381.4776))&gt;1,"DESACTUALIZADO — reejecute generar_modelo_excel.py","VIGENTE")</f>
        <v>VIGENTE</v>
      </c>
    </row>
    <row r="5" customFormat="false" ht="12.8" hidden="false" customHeight="false" outlineLevel="0" collapsed="false">
      <c r="A5" s="88" t="s">
        <v>384</v>
      </c>
    </row>
    <row r="7" customFormat="false" ht="23.85" hidden="false" customHeight="false" outlineLevel="0" collapsed="false">
      <c r="A7" s="18" t="s">
        <v>476</v>
      </c>
      <c r="B7" s="20" t="s">
        <v>350</v>
      </c>
      <c r="C7" s="20" t="s">
        <v>3</v>
      </c>
      <c r="D7" s="20" t="s">
        <v>5</v>
      </c>
      <c r="E7" s="20" t="s">
        <v>477</v>
      </c>
      <c r="F7" s="20" t="s">
        <v>478</v>
      </c>
      <c r="G7" s="20" t="s">
        <v>7</v>
      </c>
      <c r="H7" s="21" t="s">
        <v>479</v>
      </c>
    </row>
    <row r="8" customFormat="false" ht="85.05" hidden="false" customHeight="false" outlineLevel="0" collapsed="false">
      <c r="A8" s="22" t="s">
        <v>480</v>
      </c>
      <c r="B8" s="90" t="n">
        <v>29684013.4325</v>
      </c>
      <c r="C8" s="90" t="n">
        <v>38467030.0885877</v>
      </c>
      <c r="D8" s="90" t="n">
        <v>125493563.000152</v>
      </c>
      <c r="E8" s="90" t="n">
        <v>-95493563.0001524</v>
      </c>
      <c r="F8" s="90" t="n">
        <v>-75493563.0001524</v>
      </c>
      <c r="G8" s="90" t="n">
        <v>-91764381.4775857</v>
      </c>
      <c r="H8" s="27" t="s">
        <v>481</v>
      </c>
    </row>
    <row r="9" customFormat="false" ht="105.95" hidden="false" customHeight="false" outlineLevel="0" collapsed="false">
      <c r="A9" s="28" t="s">
        <v>482</v>
      </c>
      <c r="B9" s="92" t="n">
        <v>29684013.4325</v>
      </c>
      <c r="C9" s="92" t="n">
        <v>38467030.0885877</v>
      </c>
      <c r="D9" s="92" t="n">
        <v>125493563.000152</v>
      </c>
      <c r="E9" s="92" t="n">
        <v>-95493563.0001524</v>
      </c>
      <c r="F9" s="92" t="n">
        <v>-75493563.0001524</v>
      </c>
      <c r="G9" s="92" t="n">
        <v>-91764381.4775857</v>
      </c>
      <c r="H9" s="33" t="s">
        <v>483</v>
      </c>
    </row>
    <row r="10" customFormat="false" ht="116.4" hidden="false" customHeight="false" outlineLevel="0" collapsed="false">
      <c r="A10" s="93" t="s">
        <v>484</v>
      </c>
      <c r="B10" s="95" t="n">
        <v>2500000</v>
      </c>
      <c r="C10" s="95" t="n">
        <v>17776213.969863</v>
      </c>
      <c r="D10" s="95" t="n">
        <v>17776213.969863</v>
      </c>
      <c r="E10" s="95" t="n">
        <v>12223786.030137</v>
      </c>
      <c r="F10" s="95" t="n">
        <v>32223786.030137</v>
      </c>
      <c r="G10" s="95" t="n">
        <v>90427836.2452001</v>
      </c>
      <c r="H10" s="97" t="s">
        <v>485</v>
      </c>
    </row>
    <row r="12" customFormat="false" ht="13.8" hidden="false" customHeight="false" outlineLevel="0" collapsed="false">
      <c r="A12" s="101" t="s">
        <v>486</v>
      </c>
    </row>
    <row r="13" customFormat="false" ht="158.2" hidden="false" customHeight="false" outlineLevel="0" collapsed="false">
      <c r="A13" s="98" t="s">
        <v>487</v>
      </c>
    </row>
    <row r="14" customFormat="false" ht="35.05" hidden="false" customHeight="false" outlineLevel="0" collapsed="false">
      <c r="A14" s="18" t="s">
        <v>488</v>
      </c>
      <c r="B14" s="121" t="s">
        <v>489</v>
      </c>
    </row>
    <row r="15" customFormat="false" ht="12.8" hidden="false" customHeight="false" outlineLevel="0" collapsed="false">
      <c r="A15" s="22" t="s">
        <v>490</v>
      </c>
      <c r="B15" s="122" t="n">
        <v>560</v>
      </c>
    </row>
    <row r="16" customFormat="false" ht="12.8" hidden="false" customHeight="false" outlineLevel="0" collapsed="false">
      <c r="A16" s="93" t="s">
        <v>491</v>
      </c>
      <c r="B16" s="123" t="n">
        <v>810</v>
      </c>
    </row>
    <row r="19" customFormat="false" ht="13.8" hidden="false" customHeight="false" outlineLevel="0" collapsed="false">
      <c r="A19" s="101" t="s">
        <v>492</v>
      </c>
    </row>
    <row r="20" customFormat="false" ht="199.95" hidden="false" customHeight="false" outlineLevel="0" collapsed="false">
      <c r="A20" s="98" t="s">
        <v>493</v>
      </c>
    </row>
    <row r="21" customFormat="false" ht="35.05" hidden="false" customHeight="false" outlineLevel="0" collapsed="false">
      <c r="A21" s="18" t="s">
        <v>295</v>
      </c>
      <c r="B21" s="20" t="s">
        <v>494</v>
      </c>
      <c r="C21" s="20" t="s">
        <v>495</v>
      </c>
      <c r="D21" s="20" t="s">
        <v>496</v>
      </c>
      <c r="E21" s="20" t="s">
        <v>497</v>
      </c>
      <c r="F21" s="20" t="s">
        <v>498</v>
      </c>
      <c r="G21" s="121" t="s">
        <v>499</v>
      </c>
    </row>
    <row r="22" customFormat="false" ht="12.8" hidden="false" customHeight="false" outlineLevel="0" collapsed="false">
      <c r="A22" s="112" t="n">
        <v>15000000</v>
      </c>
      <c r="B22" s="23" t="s">
        <v>500</v>
      </c>
      <c r="C22" s="89" t="n">
        <v>48</v>
      </c>
      <c r="D22" s="90" t="n">
        <v>446603.401307355</v>
      </c>
      <c r="E22" s="90" t="n">
        <v>21436963.262753</v>
      </c>
      <c r="F22" s="90" t="n">
        <v>6436963.26275305</v>
      </c>
      <c r="G22" s="124" t="n">
        <v>0.157078650421454</v>
      </c>
    </row>
    <row r="23" customFormat="false" ht="12.8" hidden="false" customHeight="false" outlineLevel="0" collapsed="false">
      <c r="A23" s="125" t="n">
        <v>20000000</v>
      </c>
      <c r="B23" s="29" t="s">
        <v>500</v>
      </c>
      <c r="C23" s="91" t="n">
        <v>48</v>
      </c>
      <c r="D23" s="92" t="n">
        <v>595471.20174314</v>
      </c>
      <c r="E23" s="92" t="n">
        <v>28582617.6836707</v>
      </c>
      <c r="F23" s="92" t="n">
        <v>8582617.68367073</v>
      </c>
      <c r="G23" s="126" t="n">
        <v>0.209438200561938</v>
      </c>
    </row>
    <row r="24" customFormat="false" ht="12.8" hidden="false" customHeight="false" outlineLevel="0" collapsed="false">
      <c r="A24" s="112" t="n">
        <v>20000000</v>
      </c>
      <c r="B24" s="23" t="s">
        <v>501</v>
      </c>
      <c r="C24" s="89" t="n">
        <v>48</v>
      </c>
      <c r="D24" s="90" t="n">
        <v>686401.75449234</v>
      </c>
      <c r="E24" s="90" t="n">
        <v>32947284.2156323</v>
      </c>
      <c r="F24" s="90" t="n">
        <v>12947284.2156323</v>
      </c>
      <c r="G24" s="124" t="n">
        <v>0.209438200561938</v>
      </c>
    </row>
    <row r="25" customFormat="false" ht="12.8" hidden="false" customHeight="false" outlineLevel="0" collapsed="false">
      <c r="A25" s="127" t="n">
        <v>30000000</v>
      </c>
      <c r="B25" s="40" t="s">
        <v>500</v>
      </c>
      <c r="C25" s="102" t="n">
        <v>48</v>
      </c>
      <c r="D25" s="128" t="n">
        <v>893206.80261471</v>
      </c>
      <c r="E25" s="128" t="n">
        <v>42873926.5255061</v>
      </c>
      <c r="F25" s="128" t="n">
        <v>12873926.5255061</v>
      </c>
      <c r="G25" s="129" t="n">
        <v>0.314157300842908</v>
      </c>
    </row>
    <row r="27" customFormat="false" ht="126.85" hidden="false" customHeight="false" outlineLevel="0" collapsed="false">
      <c r="A27" s="98" t="s">
        <v>502</v>
      </c>
    </row>
  </sheetData>
  <mergeCells count="2">
    <mergeCell ref="A1:G1"/>
    <mergeCell ref="A2:G2"/>
  </mergeCells>
  <conditionalFormatting sqref="B4">
    <cfRule type="expression" priority="2" aboveAverage="0" equalAverage="0" bottom="0" percent="0" rank="0" text="" dxfId="0">
      <formula>EXACT(B4,"VIGENTE")</formula>
    </cfRule>
    <cfRule type="expression" priority="3" aboveAverage="0" equalAverage="0" bottom="0" percent="0" rank="0" text="" dxfId="1">
      <formula>NOT(EXACT(B4,"VIGENTE"))</formula>
    </cfRule>
  </conditionalFormatting>
  <conditionalFormatting sqref="E8:F10">
    <cfRule type="expression" priority="4" aboveAverage="0" equalAverage="0" bottom="0" percent="0" rank="0" text="" dxfId="0">
      <formula>E8&gt;=0</formula>
    </cfRule>
    <cfRule type="expression" priority="5" aboveAverage="0" equalAverage="0" bottom="0" percent="0" rank="0" text="" dxfId="1">
      <formula>E8&lt;0</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G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5.76"/>
    <col collapsed="false" customWidth="true" hidden="false" outlineLevel="0" max="7" min="2" style="0" width="23.49"/>
  </cols>
  <sheetData>
    <row r="1" customFormat="false" ht="25.5" hidden="false" customHeight="true" outlineLevel="0" collapsed="false">
      <c r="A1" s="1" t="s">
        <v>503</v>
      </c>
      <c r="B1" s="1"/>
      <c r="C1" s="1"/>
      <c r="D1" s="1"/>
      <c r="E1" s="1"/>
      <c r="F1" s="1"/>
      <c r="G1" s="1"/>
    </row>
    <row r="2" customFormat="false" ht="18.45" hidden="false" customHeight="true" outlineLevel="0" collapsed="false">
      <c r="A2" s="2" t="s">
        <v>504</v>
      </c>
      <c r="B2" s="2"/>
      <c r="C2" s="2"/>
      <c r="D2" s="2"/>
      <c r="E2" s="2"/>
      <c r="F2" s="2"/>
      <c r="G2" s="2"/>
    </row>
    <row r="5" customFormat="false" ht="23.85" hidden="false" customHeight="false" outlineLevel="0" collapsed="false">
      <c r="A5" s="18" t="s">
        <v>294</v>
      </c>
      <c r="B5" s="20" t="s">
        <v>310</v>
      </c>
      <c r="C5" s="20" t="s">
        <v>311</v>
      </c>
      <c r="D5" s="20" t="s">
        <v>312</v>
      </c>
      <c r="E5" s="20" t="s">
        <v>313</v>
      </c>
      <c r="F5" s="20" t="s">
        <v>314</v>
      </c>
      <c r="G5" s="121" t="s">
        <v>505</v>
      </c>
    </row>
    <row r="6" customFormat="false" ht="12.8" hidden="false" customHeight="false" outlineLevel="0" collapsed="false">
      <c r="A6" s="22" t="s">
        <v>506</v>
      </c>
      <c r="B6" s="130" t="n">
        <v>15840</v>
      </c>
      <c r="C6" s="130" t="n">
        <v>15840</v>
      </c>
      <c r="D6" s="130" t="n">
        <v>15840</v>
      </c>
      <c r="E6" s="130" t="n">
        <v>15840</v>
      </c>
      <c r="F6" s="130" t="n">
        <v>15840</v>
      </c>
      <c r="G6" s="124" t="s">
        <v>423</v>
      </c>
    </row>
    <row r="7" customFormat="false" ht="12.8" hidden="false" customHeight="false" outlineLevel="0" collapsed="false">
      <c r="A7" s="28" t="s">
        <v>317</v>
      </c>
      <c r="B7" s="92" t="n">
        <v>68523840</v>
      </c>
      <c r="C7" s="92" t="n">
        <v>70579555.2</v>
      </c>
      <c r="D7" s="92" t="n">
        <v>72696941.856</v>
      </c>
      <c r="E7" s="92" t="n">
        <v>74877850.11168</v>
      </c>
      <c r="F7" s="92" t="n">
        <v>77124185.6150304</v>
      </c>
      <c r="G7" s="126" t="n">
        <v>1</v>
      </c>
    </row>
    <row r="8" customFormat="false" ht="12.8" hidden="false" customHeight="false" outlineLevel="0" collapsed="false">
      <c r="A8" s="22" t="s">
        <v>318</v>
      </c>
      <c r="B8" s="90" t="n">
        <v>-39699351.9648</v>
      </c>
      <c r="C8" s="90" t="n">
        <v>-40890332.523744</v>
      </c>
      <c r="D8" s="90" t="n">
        <v>-42117042.4994563</v>
      </c>
      <c r="E8" s="90" t="n">
        <v>-43380553.77444</v>
      </c>
      <c r="F8" s="90" t="n">
        <v>-44681970.3876732</v>
      </c>
      <c r="G8" s="124" t="n">
        <v>-0.579350952380953</v>
      </c>
    </row>
    <row r="9" customFormat="false" ht="12.8" hidden="false" customHeight="false" outlineLevel="0" collapsed="false">
      <c r="A9" s="28" t="s">
        <v>507</v>
      </c>
      <c r="B9" s="92" t="n">
        <v>28824488.0352</v>
      </c>
      <c r="C9" s="92" t="n">
        <v>29689222.676256</v>
      </c>
      <c r="D9" s="92" t="n">
        <v>30579899.3565437</v>
      </c>
      <c r="E9" s="92" t="n">
        <v>31497296.33724</v>
      </c>
      <c r="F9" s="92" t="n">
        <v>32442215.2273572</v>
      </c>
      <c r="G9" s="126" t="n">
        <v>0.420649047619048</v>
      </c>
    </row>
    <row r="10" customFormat="false" ht="12.8" hidden="false" customHeight="false" outlineLevel="0" collapsed="false">
      <c r="A10" s="22" t="s">
        <v>319</v>
      </c>
      <c r="B10" s="90" t="n">
        <v>-47382678</v>
      </c>
      <c r="C10" s="90" t="n">
        <v>-48804158.34</v>
      </c>
      <c r="D10" s="90" t="n">
        <v>-50268283.0902</v>
      </c>
      <c r="E10" s="90" t="n">
        <v>-51776331.582906</v>
      </c>
      <c r="F10" s="90" t="n">
        <v>-53329621.5303932</v>
      </c>
      <c r="G10" s="124" t="n">
        <v>-0.691477272727273</v>
      </c>
    </row>
    <row r="11" customFormat="false" ht="12.8" hidden="false" customHeight="false" outlineLevel="0" collapsed="false">
      <c r="A11" s="28" t="s">
        <v>320</v>
      </c>
      <c r="B11" s="92" t="n">
        <v>-18558189.9648</v>
      </c>
      <c r="C11" s="92" t="n">
        <v>-19114935.663744</v>
      </c>
      <c r="D11" s="92" t="n">
        <v>-19688383.7336563</v>
      </c>
      <c r="E11" s="92" t="n">
        <v>-20279035.245666</v>
      </c>
      <c r="F11" s="92" t="n">
        <v>-20887406.303036</v>
      </c>
      <c r="G11" s="126" t="n">
        <v>-0.270828225108225</v>
      </c>
    </row>
    <row r="12" customFormat="false" ht="12.8" hidden="false" customHeight="false" outlineLevel="0" collapsed="false">
      <c r="A12" s="22" t="s">
        <v>321</v>
      </c>
      <c r="B12" s="90" t="n">
        <v>-2718401.34325</v>
      </c>
      <c r="C12" s="90" t="n">
        <v>-2718401.34325</v>
      </c>
      <c r="D12" s="90" t="n">
        <v>-2718401.34325</v>
      </c>
      <c r="E12" s="90" t="n">
        <v>-2718401.34325</v>
      </c>
      <c r="F12" s="90" t="n">
        <v>-2718401.34325</v>
      </c>
      <c r="G12" s="124" t="n">
        <v>-0.0396708845162501</v>
      </c>
    </row>
    <row r="13" customFormat="false" ht="12.8" hidden="false" customHeight="false" outlineLevel="0" collapsed="false">
      <c r="A13" s="28" t="s">
        <v>322</v>
      </c>
      <c r="B13" s="92" t="n">
        <v>-21276591.30805</v>
      </c>
      <c r="C13" s="92" t="n">
        <v>-21833337.006994</v>
      </c>
      <c r="D13" s="92" t="n">
        <v>-22406785.0769063</v>
      </c>
      <c r="E13" s="92" t="n">
        <v>-22997436.588916</v>
      </c>
      <c r="F13" s="92" t="n">
        <v>-23605807.646286</v>
      </c>
      <c r="G13" s="126" t="n">
        <v>-0.310499109624475</v>
      </c>
    </row>
    <row r="14" customFormat="false" ht="12.8" hidden="false" customHeight="false" outlineLevel="0" collapsed="false">
      <c r="A14" s="22" t="s">
        <v>324</v>
      </c>
      <c r="B14" s="90" t="n">
        <v>0</v>
      </c>
      <c r="C14" s="90" t="n">
        <v>0</v>
      </c>
      <c r="D14" s="90" t="n">
        <v>0</v>
      </c>
      <c r="E14" s="90" t="n">
        <v>0</v>
      </c>
      <c r="F14" s="90" t="n">
        <v>0</v>
      </c>
      <c r="G14" s="124" t="n">
        <v>0</v>
      </c>
    </row>
    <row r="15" customFormat="false" ht="12.8" hidden="false" customHeight="false" outlineLevel="0" collapsed="false">
      <c r="A15" s="28" t="s">
        <v>325</v>
      </c>
      <c r="B15" s="92" t="n">
        <v>0</v>
      </c>
      <c r="C15" s="92" t="n">
        <v>0</v>
      </c>
      <c r="D15" s="92" t="n">
        <v>0</v>
      </c>
      <c r="E15" s="92" t="n">
        <v>0</v>
      </c>
      <c r="F15" s="92" t="n">
        <v>0</v>
      </c>
      <c r="G15" s="126" t="n">
        <v>0</v>
      </c>
    </row>
    <row r="16" customFormat="false" ht="12.8" hidden="false" customHeight="false" outlineLevel="0" collapsed="false">
      <c r="A16" s="93" t="s">
        <v>508</v>
      </c>
      <c r="B16" s="95" t="n">
        <v>-21276591.30805</v>
      </c>
      <c r="C16" s="95" t="n">
        <v>-21833337.006994</v>
      </c>
      <c r="D16" s="95" t="n">
        <v>-22406785.0769063</v>
      </c>
      <c r="E16" s="95" t="n">
        <v>-22997436.588916</v>
      </c>
      <c r="F16" s="95" t="n">
        <v>-23605807.646286</v>
      </c>
      <c r="G16" s="131" t="n">
        <v>-0.310499109624475</v>
      </c>
    </row>
  </sheetData>
  <mergeCells count="2">
    <mergeCell ref="A1:G1"/>
    <mergeCell ref="A2:G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G2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5.76"/>
    <col collapsed="false" customWidth="true" hidden="false" outlineLevel="0" max="6" min="2" style="0" width="23.49"/>
  </cols>
  <sheetData>
    <row r="1" customFormat="false" ht="25.5" hidden="false" customHeight="true" outlineLevel="0" collapsed="false">
      <c r="A1" s="1" t="s">
        <v>509</v>
      </c>
      <c r="B1" s="1"/>
      <c r="C1" s="1"/>
      <c r="D1" s="1"/>
      <c r="E1" s="1"/>
      <c r="F1" s="1"/>
      <c r="G1" s="1"/>
    </row>
    <row r="2" customFormat="false" ht="18.45" hidden="false" customHeight="true" outlineLevel="0" collapsed="false">
      <c r="A2" s="2" t="s">
        <v>510</v>
      </c>
      <c r="B2" s="2"/>
      <c r="C2" s="2"/>
      <c r="D2" s="2"/>
      <c r="E2" s="2"/>
      <c r="F2" s="2"/>
      <c r="G2" s="2"/>
    </row>
    <row r="5" customFormat="false" ht="12.8" hidden="false" customHeight="false" outlineLevel="0" collapsed="false">
      <c r="A5" s="18" t="s">
        <v>294</v>
      </c>
      <c r="B5" s="20" t="s">
        <v>310</v>
      </c>
      <c r="C5" s="20" t="s">
        <v>311</v>
      </c>
      <c r="D5" s="20" t="s">
        <v>312</v>
      </c>
      <c r="E5" s="20" t="s">
        <v>313</v>
      </c>
      <c r="F5" s="121" t="s">
        <v>314</v>
      </c>
    </row>
    <row r="6" customFormat="false" ht="12.8" hidden="false" customHeight="false" outlineLevel="0" collapsed="false">
      <c r="A6" s="22" t="s">
        <v>511</v>
      </c>
      <c r="B6" s="90" t="n">
        <v>5632096.43835617</v>
      </c>
      <c r="C6" s="90" t="n">
        <v>5801059.33150685</v>
      </c>
      <c r="D6" s="90" t="n">
        <v>5975091.11145206</v>
      </c>
      <c r="E6" s="90" t="n">
        <v>6154343.84479562</v>
      </c>
      <c r="F6" s="122" t="n">
        <v>6338974.16013949</v>
      </c>
    </row>
    <row r="7" customFormat="false" ht="12.8" hidden="false" customHeight="false" outlineLevel="0" collapsed="false">
      <c r="A7" s="28" t="s">
        <v>512</v>
      </c>
      <c r="B7" s="92" t="n">
        <v>1631480.21773151</v>
      </c>
      <c r="C7" s="92" t="n">
        <v>1680424.62426345</v>
      </c>
      <c r="D7" s="92" t="n">
        <v>1730837.36299136</v>
      </c>
      <c r="E7" s="92" t="n">
        <v>1782762.4838811</v>
      </c>
      <c r="F7" s="132" t="n">
        <v>1836245.35839753</v>
      </c>
    </row>
    <row r="8" customFormat="false" ht="12.8" hidden="false" customHeight="false" outlineLevel="0" collapsed="false">
      <c r="A8" s="22" t="s">
        <v>513</v>
      </c>
      <c r="B8" s="90" t="n">
        <v>0</v>
      </c>
      <c r="C8" s="90" t="n">
        <v>0</v>
      </c>
      <c r="D8" s="90" t="n">
        <v>0</v>
      </c>
      <c r="E8" s="90" t="n">
        <v>0</v>
      </c>
      <c r="F8" s="122" t="n">
        <v>0</v>
      </c>
    </row>
    <row r="9" customFormat="false" ht="12.8" hidden="false" customHeight="false" outlineLevel="0" collapsed="false">
      <c r="A9" s="28" t="s">
        <v>514</v>
      </c>
      <c r="B9" s="92" t="n">
        <v>7263576.65608767</v>
      </c>
      <c r="C9" s="92" t="n">
        <v>7481483.9557703</v>
      </c>
      <c r="D9" s="92" t="n">
        <v>7705928.47444341</v>
      </c>
      <c r="E9" s="92" t="n">
        <v>7937106.32867671</v>
      </c>
      <c r="F9" s="132" t="n">
        <v>8175219.51853702</v>
      </c>
    </row>
    <row r="10" customFormat="false" ht="12.8" hidden="false" customHeight="false" outlineLevel="0" collapsed="false">
      <c r="A10" s="93" t="s">
        <v>515</v>
      </c>
      <c r="B10" s="95" t="n">
        <v>0</v>
      </c>
      <c r="C10" s="95" t="n">
        <v>217907.299682629</v>
      </c>
      <c r="D10" s="95" t="n">
        <v>224444.51867311</v>
      </c>
      <c r="E10" s="95" t="n">
        <v>231177.854233301</v>
      </c>
      <c r="F10" s="123" t="n">
        <v>238113.189860302</v>
      </c>
    </row>
    <row r="13" customFormat="false" ht="13.8" hidden="false" customHeight="false" outlineLevel="0" collapsed="false">
      <c r="A13" s="101" t="s">
        <v>516</v>
      </c>
    </row>
    <row r="14" customFormat="false" ht="12.8" hidden="false" customHeight="false" outlineLevel="0" collapsed="false">
      <c r="A14" s="103" t="s">
        <v>517</v>
      </c>
      <c r="B14" s="133" t="n">
        <v>30</v>
      </c>
    </row>
    <row r="15" customFormat="false" ht="12.8" hidden="false" customHeight="false" outlineLevel="0" collapsed="false">
      <c r="A15" s="105" t="s">
        <v>518</v>
      </c>
      <c r="B15" s="134" t="n">
        <v>15</v>
      </c>
    </row>
    <row r="16" customFormat="false" ht="12.8" hidden="false" customHeight="false" outlineLevel="0" collapsed="false">
      <c r="A16" s="105" t="s">
        <v>519</v>
      </c>
      <c r="B16" s="134" t="n">
        <v>0</v>
      </c>
    </row>
    <row r="17" customFormat="false" ht="12.8" hidden="false" customHeight="false" outlineLevel="0" collapsed="false">
      <c r="A17" s="109" t="s">
        <v>520</v>
      </c>
      <c r="B17" s="135" t="n">
        <v>45</v>
      </c>
    </row>
    <row r="20" customFormat="false" ht="45.35" hidden="false" customHeight="true" outlineLevel="0" collapsed="false">
      <c r="A20" s="98" t="s">
        <v>521</v>
      </c>
      <c r="B20" s="98"/>
      <c r="C20" s="98"/>
      <c r="D20" s="98"/>
      <c r="E20" s="98"/>
      <c r="F20" s="98"/>
    </row>
  </sheetData>
  <mergeCells count="3">
    <mergeCell ref="A1:G1"/>
    <mergeCell ref="A2:G2"/>
    <mergeCell ref="A20:F20"/>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40.85"/>
    <col collapsed="false" customWidth="true" hidden="false" outlineLevel="0" max="2" min="2" style="0" width="26.56"/>
    <col collapsed="false" customWidth="true" hidden="false" outlineLevel="0" max="3" min="3" style="0" width="66.4"/>
  </cols>
  <sheetData>
    <row r="1" customFormat="false" ht="25.5" hidden="false" customHeight="true" outlineLevel="0" collapsed="false">
      <c r="A1" s="1" t="s">
        <v>522</v>
      </c>
      <c r="B1" s="1"/>
      <c r="C1" s="1"/>
      <c r="D1" s="1"/>
      <c r="E1" s="1"/>
      <c r="F1" s="1"/>
      <c r="G1" s="1"/>
    </row>
    <row r="2" customFormat="false" ht="18.45" hidden="false" customHeight="true" outlineLevel="0" collapsed="false">
      <c r="A2" s="2" t="s">
        <v>523</v>
      </c>
      <c r="B2" s="2"/>
      <c r="C2" s="2"/>
      <c r="D2" s="2"/>
      <c r="E2" s="2"/>
      <c r="F2" s="2"/>
      <c r="G2" s="2"/>
    </row>
    <row r="5" customFormat="false" ht="12.8" hidden="false" customHeight="false" outlineLevel="0" collapsed="false">
      <c r="A5" s="18" t="s">
        <v>524</v>
      </c>
      <c r="B5" s="20" t="s">
        <v>34</v>
      </c>
      <c r="C5" s="21" t="s">
        <v>479</v>
      </c>
    </row>
    <row r="6" customFormat="false" ht="32.8" hidden="false" customHeight="false" outlineLevel="0" collapsed="false">
      <c r="A6" s="22" t="s">
        <v>525</v>
      </c>
      <c r="B6" s="90" t="n">
        <v>4326</v>
      </c>
      <c r="C6" s="27" t="s">
        <v>526</v>
      </c>
    </row>
    <row r="7" customFormat="false" ht="53.7" hidden="false" customHeight="false" outlineLevel="0" collapsed="false">
      <c r="A7" s="28" t="s">
        <v>527</v>
      </c>
      <c r="B7" s="92" t="n">
        <v>2506.27222</v>
      </c>
      <c r="C7" s="33" t="s">
        <v>528</v>
      </c>
    </row>
    <row r="8" customFormat="false" ht="43.25" hidden="false" customHeight="false" outlineLevel="0" collapsed="false">
      <c r="A8" s="22" t="s">
        <v>529</v>
      </c>
      <c r="B8" s="90" t="n">
        <v>1819.72778</v>
      </c>
      <c r="C8" s="27" t="s">
        <v>530</v>
      </c>
    </row>
    <row r="9" customFormat="false" ht="22.35" hidden="false" customHeight="false" outlineLevel="0" collapsed="false">
      <c r="A9" s="28" t="s">
        <v>531</v>
      </c>
      <c r="B9" s="100" t="n">
        <v>0.420649047619048</v>
      </c>
      <c r="C9" s="33" t="s">
        <v>532</v>
      </c>
    </row>
    <row r="10" customFormat="false" ht="43.25" hidden="false" customHeight="false" outlineLevel="0" collapsed="false">
      <c r="A10" s="22" t="s">
        <v>533</v>
      </c>
      <c r="B10" s="90" t="n">
        <v>3833550</v>
      </c>
      <c r="C10" s="27" t="s">
        <v>534</v>
      </c>
    </row>
    <row r="11" customFormat="false" ht="43.25" hidden="false" customHeight="false" outlineLevel="0" collapsed="false">
      <c r="A11" s="28" t="s">
        <v>363</v>
      </c>
      <c r="B11" s="136" t="n">
        <v>2169.86108768423</v>
      </c>
      <c r="C11" s="33" t="s">
        <v>535</v>
      </c>
    </row>
    <row r="12" customFormat="false" ht="43.25" hidden="false" customHeight="false" outlineLevel="0" collapsed="false">
      <c r="A12" s="22" t="s">
        <v>536</v>
      </c>
      <c r="B12" s="130" t="n">
        <v>1320</v>
      </c>
      <c r="C12" s="27" t="s">
        <v>537</v>
      </c>
    </row>
    <row r="13" customFormat="false" ht="43.25" hidden="false" customHeight="false" outlineLevel="0" collapsed="false">
      <c r="A13" s="28" t="s">
        <v>366</v>
      </c>
      <c r="B13" s="100" t="n">
        <v>1.64383415733653</v>
      </c>
      <c r="C13" s="33" t="s">
        <v>538</v>
      </c>
    </row>
    <row r="14" customFormat="false" ht="64.15" hidden="false" customHeight="false" outlineLevel="0" collapsed="false">
      <c r="A14" s="22" t="s">
        <v>539</v>
      </c>
      <c r="B14" s="23" t="s">
        <v>540</v>
      </c>
      <c r="C14" s="27" t="s">
        <v>541</v>
      </c>
    </row>
    <row r="15" customFormat="false" ht="43.25" hidden="false" customHeight="false" outlineLevel="0" collapsed="false">
      <c r="A15" s="28" t="s">
        <v>542</v>
      </c>
      <c r="B15" s="29" t="s">
        <v>540</v>
      </c>
      <c r="C15" s="33" t="s">
        <v>543</v>
      </c>
    </row>
    <row r="16" customFormat="false" ht="105.95" hidden="false" customHeight="false" outlineLevel="0" collapsed="false">
      <c r="A16" s="22" t="s">
        <v>544</v>
      </c>
      <c r="B16" s="89" t="n">
        <v>-0.731227795942604</v>
      </c>
      <c r="C16" s="27" t="s">
        <v>545</v>
      </c>
    </row>
    <row r="17" customFormat="false" ht="53.7" hidden="false" customHeight="false" outlineLevel="0" collapsed="false">
      <c r="A17" s="39" t="s">
        <v>12</v>
      </c>
      <c r="B17" s="102" t="n">
        <v>-1.38553330647718</v>
      </c>
      <c r="C17" s="44" t="s">
        <v>546</v>
      </c>
    </row>
  </sheetData>
  <mergeCells count="2">
    <mergeCell ref="A1:G1"/>
    <mergeCell ref="A2:G2"/>
  </mergeCells>
  <conditionalFormatting sqref="B13">
    <cfRule type="expression" priority="2" aboveAverage="0" equalAverage="0" bottom="0" percent="0" rank="0" text="" dxfId="1">
      <formula>B13&gt;1</formula>
    </cfRule>
    <cfRule type="expression" priority="3" aboveAverage="0" equalAverage="0" bottom="0" percent="0" rank="0" text="" dxfId="0">
      <formula>B13&lt;=1</formula>
    </cfRule>
  </conditionalFormatting>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24D"/>
    <pageSetUpPr fitToPage="true"/>
  </sheetPr>
  <dimension ref="A1:G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6.12"/>
    <col collapsed="false" customWidth="true" hidden="false" outlineLevel="0" max="2" min="2" style="0" width="56.18"/>
    <col collapsed="false" customWidth="true" hidden="false" outlineLevel="0" max="3" min="3" style="0" width="66.4"/>
    <col collapsed="false" customWidth="true" hidden="false" outlineLevel="0" max="4" min="4" style="0" width="17.37"/>
    <col collapsed="false" customWidth="true" hidden="false" outlineLevel="0" max="5" min="5" style="0" width="66.4"/>
  </cols>
  <sheetData>
    <row r="1" customFormat="false" ht="25.5" hidden="false" customHeight="true" outlineLevel="0" collapsed="false">
      <c r="A1" s="1" t="s">
        <v>547</v>
      </c>
      <c r="B1" s="1"/>
      <c r="C1" s="1"/>
      <c r="D1" s="1"/>
      <c r="E1" s="1"/>
      <c r="F1" s="1"/>
      <c r="G1" s="1"/>
    </row>
    <row r="2" customFormat="false" ht="18.45" hidden="false" customHeight="true" outlineLevel="0" collapsed="false">
      <c r="A2" s="2" t="s">
        <v>548</v>
      </c>
      <c r="B2" s="2"/>
      <c r="C2" s="2"/>
      <c r="D2" s="2"/>
      <c r="E2" s="2"/>
      <c r="F2" s="2"/>
      <c r="G2" s="2"/>
    </row>
    <row r="5" customFormat="false" ht="12.8" hidden="false" customHeight="false" outlineLevel="0" collapsed="false">
      <c r="A5" s="18" t="s">
        <v>549</v>
      </c>
      <c r="B5" s="19" t="s">
        <v>550</v>
      </c>
      <c r="C5" s="19" t="s">
        <v>551</v>
      </c>
      <c r="D5" s="19" t="s">
        <v>552</v>
      </c>
      <c r="E5" s="21" t="s">
        <v>553</v>
      </c>
    </row>
    <row r="6" customFormat="false" ht="42.5" hidden="false" customHeight="true" outlineLevel="0" collapsed="false">
      <c r="A6" s="137" t="n">
        <v>1</v>
      </c>
      <c r="B6" s="26" t="s">
        <v>554</v>
      </c>
      <c r="C6" s="26" t="s">
        <v>555</v>
      </c>
      <c r="D6" s="23" t="s">
        <v>556</v>
      </c>
      <c r="E6" s="27" t="s">
        <v>557</v>
      </c>
    </row>
    <row r="7" customFormat="false" ht="42.5" hidden="false" customHeight="true" outlineLevel="0" collapsed="false">
      <c r="A7" s="138" t="n">
        <v>2</v>
      </c>
      <c r="B7" s="32" t="s">
        <v>558</v>
      </c>
      <c r="C7" s="32" t="s">
        <v>559</v>
      </c>
      <c r="D7" s="29" t="s">
        <v>560</v>
      </c>
      <c r="E7" s="33" t="s">
        <v>561</v>
      </c>
    </row>
    <row r="8" customFormat="false" ht="42.5" hidden="false" customHeight="true" outlineLevel="0" collapsed="false">
      <c r="A8" s="137" t="n">
        <v>3</v>
      </c>
      <c r="B8" s="26" t="s">
        <v>562</v>
      </c>
      <c r="C8" s="26" t="s">
        <v>563</v>
      </c>
      <c r="D8" s="23" t="s">
        <v>564</v>
      </c>
      <c r="E8" s="27" t="s">
        <v>565</v>
      </c>
    </row>
    <row r="9" customFormat="false" ht="42.5" hidden="false" customHeight="true" outlineLevel="0" collapsed="false">
      <c r="A9" s="138" t="n">
        <v>4</v>
      </c>
      <c r="B9" s="32" t="s">
        <v>566</v>
      </c>
      <c r="C9" s="32" t="s">
        <v>567</v>
      </c>
      <c r="D9" s="139" t="s">
        <v>568</v>
      </c>
      <c r="E9" s="33" t="s">
        <v>569</v>
      </c>
    </row>
    <row r="10" customFormat="false" ht="42.5" hidden="false" customHeight="true" outlineLevel="0" collapsed="false">
      <c r="A10" s="137" t="n">
        <v>5</v>
      </c>
      <c r="B10" s="26" t="s">
        <v>570</v>
      </c>
      <c r="C10" s="26" t="s">
        <v>571</v>
      </c>
      <c r="D10" s="23" t="s">
        <v>572</v>
      </c>
      <c r="E10" s="27" t="s">
        <v>573</v>
      </c>
    </row>
    <row r="11" customFormat="false" ht="42.5" hidden="false" customHeight="true" outlineLevel="0" collapsed="false">
      <c r="A11" s="140" t="n">
        <v>6</v>
      </c>
      <c r="B11" s="43" t="s">
        <v>574</v>
      </c>
      <c r="C11" s="43" t="s">
        <v>575</v>
      </c>
      <c r="D11" s="40" t="s">
        <v>576</v>
      </c>
      <c r="E11" s="44" t="s">
        <v>577</v>
      </c>
    </row>
  </sheetData>
  <mergeCells count="2">
    <mergeCell ref="A1:G1"/>
    <mergeCell ref="A2:G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G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5.76"/>
    <col collapsed="false" customWidth="true" hidden="false" outlineLevel="0" max="2" min="2" style="0" width="45.96"/>
  </cols>
  <sheetData>
    <row r="1" customFormat="false" ht="25.5" hidden="false" customHeight="true" outlineLevel="0" collapsed="false">
      <c r="A1" s="1" t="s">
        <v>578</v>
      </c>
      <c r="B1" s="1"/>
      <c r="C1" s="1"/>
      <c r="D1" s="1"/>
      <c r="E1" s="1"/>
      <c r="F1" s="1"/>
      <c r="G1" s="1"/>
    </row>
    <row r="2" customFormat="false" ht="18.45" hidden="false" customHeight="true" outlineLevel="0" collapsed="false">
      <c r="A2" s="2" t="s">
        <v>579</v>
      </c>
      <c r="B2" s="2"/>
      <c r="C2" s="2"/>
      <c r="D2" s="2"/>
      <c r="E2" s="2"/>
      <c r="F2" s="2"/>
      <c r="G2" s="2"/>
    </row>
    <row r="4" customFormat="false" ht="18.45" hidden="false" customHeight="true" outlineLevel="0" collapsed="false">
      <c r="A4" s="45" t="s">
        <v>580</v>
      </c>
      <c r="B4" s="45" t="s">
        <v>581</v>
      </c>
    </row>
    <row r="5" customFormat="false" ht="12.8" hidden="false" customHeight="false" outlineLevel="0" collapsed="false">
      <c r="A5" s="86" t="s">
        <v>582</v>
      </c>
      <c r="B5" s="86" t="s">
        <v>583</v>
      </c>
    </row>
    <row r="6" customFormat="false" ht="12.8" hidden="false" customHeight="false" outlineLevel="0" collapsed="false">
      <c r="A6" s="86" t="s">
        <v>584</v>
      </c>
      <c r="B6" s="86" t="s">
        <v>583</v>
      </c>
    </row>
    <row r="7" customFormat="false" ht="12.8" hidden="false" customHeight="false" outlineLevel="0" collapsed="false">
      <c r="A7" s="86" t="s">
        <v>585</v>
      </c>
      <c r="B7" s="86" t="s">
        <v>586</v>
      </c>
    </row>
    <row r="8" customFormat="false" ht="12.8" hidden="false" customHeight="false" outlineLevel="0" collapsed="false">
      <c r="A8" s="86" t="s">
        <v>587</v>
      </c>
      <c r="B8" s="86" t="s">
        <v>583</v>
      </c>
    </row>
    <row r="9" customFormat="false" ht="12.8" hidden="false" customHeight="false" outlineLevel="0" collapsed="false">
      <c r="A9" s="86" t="s">
        <v>588</v>
      </c>
      <c r="B9" s="86" t="s">
        <v>583</v>
      </c>
    </row>
    <row r="10" customFormat="false" ht="12.8" hidden="false" customHeight="false" outlineLevel="0" collapsed="false">
      <c r="A10" s="86" t="s">
        <v>589</v>
      </c>
      <c r="B10" s="86" t="s">
        <v>583</v>
      </c>
    </row>
    <row r="11" customFormat="false" ht="12.8" hidden="false" customHeight="false" outlineLevel="0" collapsed="false">
      <c r="A11" s="86" t="s">
        <v>590</v>
      </c>
      <c r="B11" s="86" t="s">
        <v>583</v>
      </c>
    </row>
    <row r="13" customFormat="false" ht="13.8" hidden="false" customHeight="false" outlineLevel="0" collapsed="false">
      <c r="A13" s="101" t="s">
        <v>591</v>
      </c>
    </row>
    <row r="14" customFormat="false" ht="12.8" hidden="false" customHeight="false" outlineLevel="0" collapsed="false">
      <c r="A14" s="86" t="s">
        <v>592</v>
      </c>
      <c r="B14" s="141" t="s">
        <v>593</v>
      </c>
    </row>
    <row r="15" customFormat="false" ht="12.8" hidden="false" customHeight="false" outlineLevel="0" collapsed="false">
      <c r="A15" s="86" t="s">
        <v>14</v>
      </c>
      <c r="B15" s="86" t="str">
        <f aca="false">Resumen!$E$12</f>
        <v>OK</v>
      </c>
    </row>
    <row r="16" customFormat="false" ht="12.8" hidden="false" customHeight="false" outlineLevel="0" collapsed="false">
      <c r="A16" s="86" t="s">
        <v>15</v>
      </c>
      <c r="B16" s="86" t="str">
        <f aca="false">Resumen!$E$13</f>
        <v>REVISAR TIR</v>
      </c>
    </row>
    <row r="17" customFormat="false" ht="12.8" hidden="false" customHeight="false" outlineLevel="0" collapsed="false">
      <c r="A17" s="86" t="s">
        <v>594</v>
      </c>
      <c r="B17" s="86" t="str">
        <f aca="false">IF(ISNA(Calculos!$B$48),"NO — flujo sin cambio de signo","sí")</f>
        <v>NO — flujo sin cambio de signo</v>
      </c>
    </row>
  </sheetData>
  <sheetProtection sheet="true" objects="true" scenarios="true"/>
  <mergeCells count="2">
    <mergeCell ref="A1:G1"/>
    <mergeCell ref="A2:G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2026-08-06T18:18:46Z</dcterms:created>
  <dc:creator>Dossier evaluación pizzería</dc:creator>
  <dc:description/>
  <dc:language>en-US</dc:language>
  <cp:lastModifiedBy/>
  <dcterms:modified xsi:type="dcterms:W3CDTF">2026-08-06T18:18:51Z</dcterms:modified>
  <cp:revision>1</cp:revision>
  <dc:subject>Modelo financiero editable VAN, TIR y flujo de caja</dc:subject>
  <dc:title>Evaluación económica pizzería B2B</dc:title>
</cp:coreProperties>
</file>