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Inputs" sheetId="2" state="visible" r:id="rId4"/>
    <sheet name="Inversion" sheetId="3" state="visible" r:id="rId5"/>
    <sheet name="Flujo_Caja" sheetId="4" state="visible" r:id="rId6"/>
    <sheet name="Escenarios" sheetId="5" state="visible" r:id="rId7"/>
    <sheet name="Sensibilidad" sheetId="6" state="visible" r:id="rId8"/>
    <sheet name="Fuentes" sheetId="7" state="visible" r:id="rId9"/>
    <sheet name="Calculos" sheetId="8" state="hidden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<sst xmlns="http://schemas.openxmlformats.org/spreadsheetml/2006/main" count="1243" uniqueCount="307">
  <si>
    <t xml:space="preserve">EVALUACIÓN ECONÓMICA — PIZZERÍA B2B</t>
  </si>
  <si>
    <t xml:space="preserve">VERSIÓN VISUAL 2 · Flujo libre sin deuda · pesos nominales · horizonte de cinco años</t>
  </si>
  <si>
    <t xml:space="preserve">Decisión del escenario activo</t>
  </si>
  <si>
    <t xml:space="preserve">Inversión inicial</t>
  </si>
  <si>
    <t xml:space="preserve">Escenario</t>
  </si>
  <si>
    <t xml:space="preserve">Fondeo máximo</t>
  </si>
  <si>
    <t xml:space="preserve">TMAR</t>
  </si>
  <si>
    <t xml:space="preserve">VAN</t>
  </si>
  <si>
    <t xml:space="preserve">Capital disponible</t>
  </si>
  <si>
    <t xml:space="preserve">TIR</t>
  </si>
  <si>
    <t xml:space="preserve">Payback descontado</t>
  </si>
  <si>
    <t xml:space="preserve">Dictamen</t>
  </si>
  <si>
    <t xml:space="preserve">Índice de rentabilidad</t>
  </si>
  <si>
    <t xml:space="preserve">Punto de equilibrio mensual</t>
  </si>
  <si>
    <t xml:space="preserve">Control VAN</t>
  </si>
  <si>
    <t xml:space="preserve">Flujo convencional</t>
  </si>
  <si>
    <t xml:space="preserve">Criterios de Ingeniería Económica</t>
  </si>
  <si>
    <t xml:space="preserve">• VAN &gt; 0: el proyecto crea valor a la TMAR seleccionada.</t>
  </si>
  <si>
    <t xml:space="preserve">• TIR &gt; TMAR: la rentabilidad interna supera el rendimiento mínimo exigido.</t>
  </si>
  <si>
    <t xml:space="preserve">• VAN y TIR no se comparan entre sí: tienen unidades diferentes.</t>
  </si>
  <si>
    <t xml:space="preserve">• El flujo es económico y no incorpora deuda, intereses ni dividendos.</t>
  </si>
  <si>
    <t xml:space="preserve">INPUTS DEL MODELO · VERSIÓN VISUAL 2</t>
  </si>
  <si>
    <t xml:space="preserve">Edite solamente las celdas amarillas de la columna C. Todas las demás hojas usan fórmulas.</t>
  </si>
  <si>
    <t xml:space="preserve">Categoría</t>
  </si>
  <si>
    <t xml:space="preserve">Parámetro</t>
  </si>
  <si>
    <t xml:space="preserve">Valor</t>
  </si>
  <si>
    <t xml:space="preserve">Unidad</t>
  </si>
  <si>
    <t xml:space="preserve">Confianza</t>
  </si>
  <si>
    <t xml:space="preserve">Fuente</t>
  </si>
  <si>
    <t xml:space="preserve">Nota</t>
  </si>
  <si>
    <t xml:space="preserve">Modelo</t>
  </si>
  <si>
    <t xml:space="preserve">Escenario activo</t>
  </si>
  <si>
    <t xml:space="preserve">Base</t>
  </si>
  <si>
    <t xml:space="preserve">texto</t>
  </si>
  <si>
    <t xml:space="preserve">SUPUESTO</t>
  </si>
  <si>
    <t xml:space="preserve">Selección del usuario</t>
  </si>
  <si>
    <t xml:space="preserve">Valores permitidos: Pesimista, Base u Optimista.</t>
  </si>
  <si>
    <t xml:space="preserve">TMAR nominal anual</t>
  </si>
  <si>
    <t xml:space="preserve">% anual</t>
  </si>
  <si>
    <t xml:space="preserve">https://www.bcentral.cl/es/areas/politica-monetaria</t>
  </si>
  <si>
    <t xml:space="preserve">TMAR nominal para capital propio: TPM observada 4,5% más 10,5 puntos por riesgo comercial, escala, iliquidez y concentración. Debe sustituirse por costo de oportunidad del titular.</t>
  </si>
  <si>
    <t xml:space="preserve">Inflación anual</t>
  </si>
  <si>
    <t xml:space="preserve">% anual desde año 2</t>
  </si>
  <si>
    <t xml:space="preserve">ESTIMADO</t>
  </si>
  <si>
    <t xml:space="preserve">https://www.bcentral.cl/documents/33528/8413153/IPoM%2Bjunio%2B2026.pdf/93388589-0929-4ad6-b166-10981ca34946</t>
  </si>
  <si>
    <t xml:space="preserve">IPoM junio 2026 ubica expectativas a uno y dos años en torno a 3%. Se escala precio y costos simétricamente.</t>
  </si>
  <si>
    <t xml:space="preserve">Capital máximo disponible</t>
  </si>
  <si>
    <t xml:space="preserve">CLP</t>
  </si>
  <si>
    <t xml:space="preserve">VERIFICADO</t>
  </si>
  <si>
    <t xml:space="preserve">datos/supuestos.json#meta.restriccion_capital_clp</t>
  </si>
  <si>
    <t xml:space="preserve">Restricción declarada en el enunciado.</t>
  </si>
  <si>
    <t xml:space="preserve">Horizonte de evaluación</t>
  </si>
  <si>
    <t xml:space="preserve">años</t>
  </si>
  <si>
    <t xml:space="preserve">datos/supuestos.json#meta.horizonte_evaluacion_anios</t>
  </si>
  <si>
    <t xml:space="preserve">Horizonte fijado en el statement.</t>
  </si>
  <si>
    <t xml:space="preserve">Ventas</t>
  </si>
  <si>
    <t xml:space="preserve">Precio B2B neto base</t>
  </si>
  <si>
    <t xml:space="preserve">CLP neto/unidad en pesos base 2026</t>
  </si>
  <si>
    <t xml:space="preserve">02-competencia/index.html</t>
  </si>
  <si>
    <t xml:space="preserve">Se usa solo porque el parámetro de etapa 02 está pendiente. Está entre PF retail neto ($3.017) y foodservice publicado ($5.034); no representa disposición a pagar validada.</t>
  </si>
  <si>
    <t xml:space="preserve">Volumen año 1</t>
  </si>
  <si>
    <t xml:space="preserve">pizzas/año</t>
  </si>
  <si>
    <t xml:space="preserve">01-mercado/index.html</t>
  </si>
  <si>
    <t xml:space="preserve">2.500 unidades/mes. Sustituir por mercado.som_ano1_pizzas_mes × 12 cuando etapa 03 lo valide.</t>
  </si>
  <si>
    <t xml:space="preserve">Volumen año 2</t>
  </si>
  <si>
    <t xml:space="preserve">Etapa 10</t>
  </si>
  <si>
    <t xml:space="preserve">Rampa comercial no validada.</t>
  </si>
  <si>
    <t xml:space="preserve">Volumen año 3</t>
  </si>
  <si>
    <t xml:space="preserve">Volumen año 4</t>
  </si>
  <si>
    <t xml:space="preserve">Volumen año 5</t>
  </si>
  <si>
    <t xml:space="preserve">Tributación</t>
  </si>
  <si>
    <t xml:space="preserve">Impuesto año 1</t>
  </si>
  <si>
    <t xml:space="preserve">% IDPC Pro Pyme año comercial 2027</t>
  </si>
  <si>
    <t xml:space="preserve">https://www.sii.cl/normativa_legislacion/circulares/2025/circu53.pdf</t>
  </si>
  <si>
    <t xml:space="preserve">Aplica si la empresa califica al régimen Pro Pyme General del art. 14 D N°3.</t>
  </si>
  <si>
    <t xml:space="preserve">Impuesto año 2</t>
  </si>
  <si>
    <t xml:space="preserve">% IDPC Pro Pyme año comercial 2028</t>
  </si>
  <si>
    <t xml:space="preserve">Tasa transitoria informada por Circular SII 53/2025.</t>
  </si>
  <si>
    <t xml:space="preserve">Impuesto año 3</t>
  </si>
  <si>
    <t xml:space="preserve">% IDPC permanente</t>
  </si>
  <si>
    <t xml:space="preserve">https://www.sii.cl/destacados/modernizacion/tipos_regimenes_mt.html</t>
  </si>
  <si>
    <t xml:space="preserve">Tasa permanente vigente; se supone desde 2029 salvo nueva ley.</t>
  </si>
  <si>
    <t xml:space="preserve">Impuesto año 4</t>
  </si>
  <si>
    <t xml:space="preserve">Supone permanencia normativa.</t>
  </si>
  <si>
    <t xml:space="preserve">Impuesto año 5</t>
  </si>
  <si>
    <t xml:space="preserve">Producto</t>
  </si>
  <si>
    <t xml:space="preserve">Harina por pizza</t>
  </si>
  <si>
    <t xml:space="preserve">kg/pizza</t>
  </si>
  <si>
    <t xml:space="preserve">Debe sustituirse por formulación de etapa 04.</t>
  </si>
  <si>
    <t xml:space="preserve">Salsa por pizza</t>
  </si>
  <si>
    <t xml:space="preserve">Mozzarella por pizza</t>
  </si>
  <si>
    <t xml:space="preserve">Principal driver de costo; validar rendimiento y gramaje.</t>
  </si>
  <si>
    <t xml:space="preserve">Otros ingredientes por pizza</t>
  </si>
  <si>
    <t xml:space="preserve">CLP neto/pizza</t>
  </si>
  <si>
    <t xml:space="preserve">Aceite, levadura, sal, especias y topping; pendiente de receta y cotización.</t>
  </si>
  <si>
    <t xml:space="preserve">Envase por pizza</t>
  </si>
  <si>
    <t xml:space="preserve">06-insumos/index.html</t>
  </si>
  <si>
    <t xml:space="preserve">Fallback hasta que etapa 06 cierre film, etiqueta y caja máster.</t>
  </si>
  <si>
    <t xml:space="preserve">Energía variable por pizza</t>
  </si>
  <si>
    <t xml:space="preserve">CLP/pizza</t>
  </si>
  <si>
    <t xml:space="preserve">https://calvac.cl/venta/abatidor-10-bandejas-2/</t>
  </si>
  <si>
    <t xml:space="preserve">Bolsa de costo para horno, abatimiento y congelación. Debe reemplazarse por balance kWh/ciclo y tarifa contratada.</t>
  </si>
  <si>
    <t xml:space="preserve">Distribución variable por pizza</t>
  </si>
  <si>
    <t xml:space="preserve">Despacho consolidado local sin vehículo propio; cotizar por ruta.</t>
  </si>
  <si>
    <t xml:space="preserve">Merma de ingredientes</t>
  </si>
  <si>
    <t xml:space="preserve">% de ingredientes</t>
  </si>
  <si>
    <t xml:space="preserve">Sustituir por pruebas de proceso.</t>
  </si>
  <si>
    <t xml:space="preserve">Insumos</t>
  </si>
  <si>
    <t xml:space="preserve">Precio harina/kg</t>
  </si>
  <si>
    <t xml:space="preserve">CLP neto/kg</t>
  </si>
  <si>
    <t xml:space="preserve">https://metafood.cl/REV10100_Harina_Pizza</t>
  </si>
  <si>
    <t xml:space="preserve">Saco de harina para pizza 25 kg publicado a $21.000 + IVA. Falta confirmar flete y disponibilidad en Temuco.</t>
  </si>
  <si>
    <t xml:space="preserve">Precio tomate/kg</t>
  </si>
  <si>
    <t xml:space="preserve">https://metafood.cl/REV10130_Tomate_Pelado_Lata_Bolsa</t>
  </si>
  <si>
    <t xml:space="preserve">Tomate pelado bolsa 5 kg a $11.919 + IVA. Es insumo para formular salsa, no salsa terminada; falta flete a Temuco.</t>
  </si>
  <si>
    <t xml:space="preserve">Precio mozzarella/kg</t>
  </si>
  <si>
    <t xml:space="preserve">https://www.mercadolibre.cl/queso-mozzarella-barra-35-kg-aprox-molfino-argentino/up/MLCU67695246</t>
  </si>
  <si>
    <t xml:space="preserve">Publicación de vendedor de Temuco a $10.000/kg IVA incluido, con factura y reparto refrigerado; normalizado /1,19. No es cotización por volumen ni demuestra suministro estable.</t>
  </si>
  <si>
    <t xml:space="preserve">Operación</t>
  </si>
  <si>
    <t xml:space="preserve">Superficie</t>
  </si>
  <si>
    <t xml:space="preserve">m²</t>
  </si>
  <si>
    <t xml:space="preserve">07-local-habilitacion/index.html</t>
  </si>
  <si>
    <t xml:space="preserve">Fallback hasta layout de etapa 04.</t>
  </si>
  <si>
    <t xml:space="preserve">Arriendo por m²/mes</t>
  </si>
  <si>
    <t xml:space="preserve">CLP/m²/mes</t>
  </si>
  <si>
    <t xml:space="preserve">https://chilepropiedades.cl/ver-publicacion/arriendo-mensual/temuco/bodega/bodega-nueva-de-1-500-m2-acceso-norte-de-tco-162267/117714745 ; https://propiedades.bmi.cl/6057</t>
  </si>
  <si>
    <t xml:space="preserve">Punto medio entre avisos industriales de 0,15 y 0,16 UF/m²/mes, convertido con UF base $40.844,79. Son bodegas mayores; no prueba precio de un local alimentario pequeño.</t>
  </si>
  <si>
    <t xml:space="preserve">Arriendo mensual directo (0 = calcular)</t>
  </si>
  <si>
    <t xml:space="preserve">CLP/mes</t>
  </si>
  <si>
    <t xml:space="preserve">PENDIENTE</t>
  </si>
  <si>
    <t xml:space="preserve">Depende del metraje, gastos comunes y de encontrar un inmueble compatible con uso de suelo y habilitación sanitaria.</t>
  </si>
  <si>
    <t xml:space="preserve">Nómina bruta mensual</t>
  </si>
  <si>
    <t xml:space="preserve">datos/supuestos.json#macro.ingreso_minimo_mensual_clp</t>
  </si>
  <si>
    <t xml:space="preserve">Incluye costo de oportunidad del trabajo del titular y apoyo productivo/comercial; etapa 09 debe reemplazarlo.</t>
  </si>
  <si>
    <t xml:space="preserve">Factor costo empresa</t>
  </si>
  <si>
    <t xml:space="preserve">multiplicador</t>
  </si>
  <si>
    <t xml:space="preserve">datos/supuestos.json#macro.factor_costo_empresa</t>
  </si>
  <si>
    <t xml:space="preserve">Fallback dentro del rango preliminar declarado; requiere cálculo previsional de etapa 09.</t>
  </si>
  <si>
    <t xml:space="preserve">Servicios fijos mensuales</t>
  </si>
  <si>
    <t xml:space="preserve">Cargo fijo de electricidad, agua, gas, internet y residuos, separado del consumo variable.</t>
  </si>
  <si>
    <t xml:space="preserve">Mantenimiento mensual</t>
  </si>
  <si>
    <t xml:space="preserve">Reserva preventiva; validar con equipos elegidos.</t>
  </si>
  <si>
    <t xml:space="preserve">Administración mensual</t>
  </si>
  <si>
    <t xml:space="preserve">Contabilidad, software básico, telefonía y gastos bancarios.</t>
  </si>
  <si>
    <t xml:space="preserve">Ventas mensuales</t>
  </si>
  <si>
    <t xml:space="preserve">Muestras, visitas y material comercial.</t>
  </si>
  <si>
    <t xml:space="preserve">Seguros mensuales</t>
  </si>
  <si>
    <t xml:space="preserve">Cotización pendiente.</t>
  </si>
  <si>
    <t xml:space="preserve">Días cuentas por cobrar</t>
  </si>
  <si>
    <t xml:space="preserve">días</t>
  </si>
  <si>
    <t xml:space="preserve">datos/parametros-02-competencia.json#precios.plazo_cobro_dias</t>
  </si>
  <si>
    <t xml:space="preserve">Fallback consistente con el modelo de negocio; debe sustituirse por práctica validada.</t>
  </si>
  <si>
    <t xml:space="preserve">Días inventario</t>
  </si>
  <si>
    <t xml:space="preserve">días de costo variable</t>
  </si>
  <si>
    <t xml:space="preserve">Materia prima más producto terminado.</t>
  </si>
  <si>
    <t xml:space="preserve">Días cuentas por pagar</t>
  </si>
  <si>
    <t xml:space="preserve">Caso conservador sin crédito de proveedores.</t>
  </si>
  <si>
    <t xml:space="preserve">Inversión</t>
  </si>
  <si>
    <t xml:space="preserve">Abatidor</t>
  </si>
  <si>
    <t xml:space="preserve">CLP neto</t>
  </si>
  <si>
    <t xml:space="preserve">10 bandejas, congelación declarada hasta 30 kg; precio publicado + IVA.</t>
  </si>
  <si>
    <t xml:space="preserve">Amasadora</t>
  </si>
  <si>
    <t xml:space="preserve">https://www.supermaq.cl/amasadoras/amasadora_20_kilos/</t>
  </si>
  <si>
    <t xml:space="preserve">Amasadora espiral 20 kg, precio internet + IVA.</t>
  </si>
  <si>
    <t xml:space="preserve">Horno</t>
  </si>
  <si>
    <t xml:space="preserve">https://www.supermaq.cl/hornos_pizza/horno_electrico_pizzero_2_camara_40x40.pdf</t>
  </si>
  <si>
    <t xml:space="preserve">Horno pizzero eléctrico dos cámaras, oferta + IVA; verificar capacidad real de precocción.</t>
  </si>
  <si>
    <t xml:space="preserve">Selladora al vacío</t>
  </si>
  <si>
    <t xml:space="preserve">https://www.supermaq.cl/pdf/camara.cl_selladora_al_vacio_300_mm_dz300.pdf</t>
  </si>
  <si>
    <t xml:space="preserve">Ficha con precio publicado; confirmar vigencia y compatibilidad con formato.</t>
  </si>
  <si>
    <t xml:space="preserve">Mesón refrigerado</t>
  </si>
  <si>
    <t xml:space="preserve">https://www.industriaminera.cl/producto/biggi-chile-sa-mesones-refrigerados/</t>
  </si>
  <si>
    <t xml:space="preserve">Mesón 120 cm publicado + IVA; confirmar vigencia.</t>
  </si>
  <si>
    <t xml:space="preserve">Congeladores</t>
  </si>
  <si>
    <t xml:space="preserve">https://gastronomicareal.cl/refrigeracion/congeladoras</t>
  </si>
  <si>
    <t xml:space="preserve">Bolsa para almacenamiento −18 °C; requiere selección por capacidad y redundancia.</t>
  </si>
  <si>
    <t xml:space="preserve">Acero, lavado y extracción</t>
  </si>
  <si>
    <t xml:space="preserve">Mesones, lavaderos, campana y elementos fijos; cotización pendiente.</t>
  </si>
  <si>
    <t xml:space="preserve">Racks, bandejas e instrumentos</t>
  </si>
  <si>
    <t xml:space="preserve">Carros, bandejas, balanzas, sondas y utensilios.</t>
  </si>
  <si>
    <t xml:space="preserve">Flete e instalación</t>
  </si>
  <si>
    <t xml:space="preserve">% sobre equipos</t>
  </si>
  <si>
    <t xml:space="preserve">Flete Santiago–Temuco, conexión y puesta en marcha.</t>
  </si>
  <si>
    <t xml:space="preserve">Habilitación sanitaria</t>
  </si>
  <si>
    <t xml:space="preserve">Riesgo principal; reemplazar por presupuesto desglosado de un local real.</t>
  </si>
  <si>
    <t xml:space="preserve">Trámites, análisis y rotulado</t>
  </si>
  <si>
    <t xml:space="preserve">08-legal-normativo/index.html</t>
  </si>
  <si>
    <t xml:space="preserve">Aranceles, laboratorio y artes; cotización pendiente.</t>
  </si>
  <si>
    <t xml:space="preserve">Preoperación</t>
  </si>
  <si>
    <t xml:space="preserve">Pruebas, capacitación, muestras y apertura.</t>
  </si>
  <si>
    <t xml:space="preserve">Contingencia</t>
  </si>
  <si>
    <t xml:space="preserve">% sobre equipos, instalación y habilitación</t>
  </si>
  <si>
    <t xml:space="preserve">Reserva de estimación conceptual; no reemplaza cotizaciones.</t>
  </si>
  <si>
    <t xml:space="preserve">Garantía de arriendo</t>
  </si>
  <si>
    <t xml:space="preserve">meses</t>
  </si>
  <si>
    <t xml:space="preserve">Activo recuperable al final si no hay daños.</t>
  </si>
  <si>
    <t xml:space="preserve">Vida depreciable</t>
  </si>
  <si>
    <t xml:space="preserve">años lineales</t>
  </si>
  <si>
    <t xml:space="preserve">https://www.sii.cl/valores_y_fechas/tabla_vida_util_activo_inmovilizado.html</t>
  </si>
  <si>
    <t xml:space="preserve">Simplificación financiera; validar categoría y depreciación tributaria por activo.</t>
  </si>
  <si>
    <t xml:space="preserve">Valor residual</t>
  </si>
  <si>
    <t xml:space="preserve">% del CAPEX depreciable</t>
  </si>
  <si>
    <t xml:space="preserve">Valor de realización al año 5 antes de impuesto.</t>
  </si>
  <si>
    <t xml:space="preserve">Escenarios</t>
  </si>
  <si>
    <t xml:space="preserve">Pesimista: precio</t>
  </si>
  <si>
    <t xml:space="preserve">Editable para análisis de riesgo.</t>
  </si>
  <si>
    <t xml:space="preserve">Pesimista: volumen</t>
  </si>
  <si>
    <t xml:space="preserve">Pesimista: costo variable</t>
  </si>
  <si>
    <t xml:space="preserve">Pesimista: costo fijo</t>
  </si>
  <si>
    <t xml:space="preserve">Pesimista: CAPEX</t>
  </si>
  <si>
    <t xml:space="preserve">Base: precio</t>
  </si>
  <si>
    <t xml:space="preserve">Base: volumen</t>
  </si>
  <si>
    <t xml:space="preserve">Base: costo variable</t>
  </si>
  <si>
    <t xml:space="preserve">Base: costo fijo</t>
  </si>
  <si>
    <t xml:space="preserve">Base: CAPEX</t>
  </si>
  <si>
    <t xml:space="preserve">Optimista: precio</t>
  </si>
  <si>
    <t xml:space="preserve">Optimista: volumen</t>
  </si>
  <si>
    <t xml:space="preserve">Optimista: costo variable</t>
  </si>
  <si>
    <t xml:space="preserve">Optimista: costo fijo</t>
  </si>
  <si>
    <t xml:space="preserve">Optimista: CAPEX</t>
  </si>
  <si>
    <t xml:space="preserve">Sensibilidad: precio bajo</t>
  </si>
  <si>
    <t xml:space="preserve">Sensibilidad: precio alto</t>
  </si>
  <si>
    <t xml:space="preserve">Sensibilidad: volumen bajo</t>
  </si>
  <si>
    <t xml:space="preserve">Sensibilidad: volumen alto</t>
  </si>
  <si>
    <t xml:space="preserve">INVERSIÓN INICIAL</t>
  </si>
  <si>
    <t xml:space="preserve">Detalle del escenario activo; todos los montos provienen de Inputs o de fórmulas.</t>
  </si>
  <si>
    <t xml:space="preserve">Concepto</t>
  </si>
  <si>
    <t xml:space="preserve">Monto</t>
  </si>
  <si>
    <t xml:space="preserve">Tratamiento</t>
  </si>
  <si>
    <t xml:space="preserve">Referencia</t>
  </si>
  <si>
    <t xml:space="preserve">Equipos principales</t>
  </si>
  <si>
    <t xml:space="preserve">Depreciable</t>
  </si>
  <si>
    <t xml:space="preserve">Inputs / Calculos</t>
  </si>
  <si>
    <t xml:space="preserve">Habilitación + contingencia</t>
  </si>
  <si>
    <t xml:space="preserve">Trámites y preoperación</t>
  </si>
  <si>
    <t xml:space="preserve">No depreciable en este modelo</t>
  </si>
  <si>
    <t xml:space="preserve">Recuperable al año 5</t>
  </si>
  <si>
    <t xml:space="preserve">Capital de trabajo inicial</t>
  </si>
  <si>
    <t xml:space="preserve">INVERSIÓN INICIAL TOTAL</t>
  </si>
  <si>
    <t xml:space="preserve">FLUJO DE CAJA LIBRE DEL PROYECTO</t>
  </si>
  <si>
    <t xml:space="preserve">Escenario elegido en Inputs; cifras nominales, después de impuestos y antes de financiamiento.</t>
  </si>
  <si>
    <t xml:space="preserve">Año 0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</si>
  <si>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</si>
  <si>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</si>
  <si>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</si>
  <si>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</si>
  <si>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</si>
  <si>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Volumen</t>
  </si>
  <si>
    <t xml:space="preserve">Precio</t>
  </si>
  <si>
    <t xml:space="preserve">Ingresos</t>
  </si>
  <si>
    <t xml:space="preserve">Costos variables</t>
  </si>
  <si>
    <t xml:space="preserve">Costos fijos</t>
  </si>
  <si>
    <t xml:space="preserve">EBITDA</t>
  </si>
  <si>
    <t xml:space="preserve">Depreciación</t>
  </si>
  <si>
    <t xml:space="preserve">EBIT</t>
  </si>
  <si>
    <t xml:space="preserve">Pérdida tributaria inicial</t>
  </si>
  <si>
    <t xml:space="preserve">Renta imponible</t>
  </si>
  <si>
    <t xml:space="preserve">Impuesto</t>
  </si>
  <si>
    <t xml:space="preserve">Pérdida tributaria final</t>
  </si>
  <si>
    <t xml:space="preserve">Capital de trabajo</t>
  </si>
  <si>
    <t xml:space="preserve">Variación capital de trabajo</t>
  </si>
  <si>
    <t xml:space="preserve">Recuperaciones terminales</t>
  </si>
  <si>
    <t xml:space="preserve">Flujo libre</t>
  </si>
  <si>
    <t xml:space="preserve">Factor descuento</t>
  </si>
  <si>
    <t xml:space="preserve">Flujo descontado</t>
  </si>
  <si>
    <t xml:space="preserve">Flujo acumulado</t>
  </si>
  <si>
    <t xml:space="preserve">Flujo descontado acumulado</t>
  </si>
  <si>
    <t xml:space="preserve">ESCENARIOS</t>
  </si>
  <si>
    <t xml:space="preserve">Multiplicadores editables en Inputs; cada caso recalcula impuestos, capital de trabajo y valor terminal.</t>
  </si>
  <si>
    <t xml:space="preserve">Punto equilibrio/mes</t>
  </si>
  <si>
    <t xml:space="preserve">Pesimista</t>
  </si>
  <si>
    <t xml:space="preserve">Optimista</t>
  </si>
  <si>
    <t xml:space="preserve">SENSIBILIDAD DEL VAN</t>
  </si>
  <si>
    <t xml:space="preserve">Filas: multiplicador de volumen. Columnas: multiplicador de precio; costos y CAPEX permanecen en caso base.</t>
  </si>
  <si>
    <t xml:space="preserve">Volumen \ Precio</t>
  </si>
  <si>
    <t xml:space="preserve">TRAZABILIDAD Y FUENTES</t>
  </si>
  <si>
    <t xml:space="preserve">Copia documental de Inputs. Los cambios posteriores deben realizarse en Inputs.</t>
  </si>
  <si>
    <t xml:space="preserve">Valor actual</t>
  </si>
  <si>
    <t xml:space="preserve">MOTOR DE CÁLCULO</t>
  </si>
  <si>
    <t xml:space="preserve">Bloques formulados para escenario activo, escenarios comparables y sensibilidad.</t>
  </si>
  <si>
    <t xml:space="preserve">Costo variable</t>
  </si>
  <si>
    <t xml:space="preserve">Costo fijo</t>
  </si>
  <si>
    <t xml:space="preserve">CAPEX</t>
  </si>
  <si>
    <t xml:space="preserve">Equipos</t>
  </si>
  <si>
    <t xml:space="preserve">Flete/instalación</t>
  </si>
  <si>
    <t xml:space="preserve">Arriendo mensual</t>
  </si>
  <si>
    <t xml:space="preserve">Costo variable unitario base</t>
  </si>
  <si>
    <t xml:space="preserve">Costo fijo mensual base</t>
  </si>
  <si>
    <t xml:space="preserve">CAPEX depreciable</t>
  </si>
  <si>
    <t xml:space="preserve">CAPEX total</t>
  </si>
  <si>
    <t xml:space="preserve">Depreciación anual</t>
  </si>
  <si>
    <t xml:space="preserve">Valor residual bruto</t>
  </si>
  <si>
    <t xml:space="preserve">Garantía arriendo</t>
  </si>
  <si>
    <t xml:space="preserve">Escalador</t>
  </si>
  <si>
    <t xml:space="preserve">Costo variable unitario</t>
  </si>
  <si>
    <t xml:space="preserve">Escenario Pesimista</t>
  </si>
  <si>
    <t xml:space="preserve">Escenario Base</t>
  </si>
  <si>
    <t xml:space="preserve">Escenario Optimista</t>
  </si>
  <si>
    <t xml:space="preserve">Sensibilidad V1 P1</t>
  </si>
  <si>
    <t xml:space="preserve">Sensibilidad V1 P2</t>
  </si>
  <si>
    <t xml:space="preserve">Sensibilidad V1 P3</t>
  </si>
  <si>
    <t xml:space="preserve">Sensibilidad V2 P1</t>
  </si>
  <si>
    <t xml:space="preserve">Sensibilidad V2 P2</t>
  </si>
  <si>
    <t xml:space="preserve">Sensibilidad V2 P3</t>
  </si>
  <si>
    <t xml:space="preserve">Sensibilidad V3 P1</t>
  </si>
  <si>
    <t xml:space="preserve">Sensibilidad V3 P2</t>
  </si>
  <si>
    <t xml:space="preserve">Sensibilidad V3 P3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</si>
</sst>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$-es-CL]\ #,##0;[RED]\-[$$-es-CL]\ #,##0"/>
    <numFmt numFmtId="166" formatCode="[$-340A]0.0%"/>
    <numFmt numFmtId="167" formatCode="[$-340A]#,##0.00"/>
    <numFmt numFmtId="168" formatCode="[$-340A]#,##0"/>
    <numFmt numFmtId="169" formatCode="[$$-409]#,##0.00;[RED]\-[$$-409]#,##0.00"/>
    <numFmt numFmtId="170" formatCode="#,##0"/>
    <numFmt numFmtId="171" formatCode="#,##0.00"/>
    <numFmt numFmtId="172" formatCode="[$-340A]0.00\ 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FFFFFF"/>
      <name val="Arial"/>
      <family val="2"/>
    </font>
    <font>
      <sz val="10"/>
      <color rgb="FF17324D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b val="true"/>
      <sz val="14"/>
      <color rgb="FF17324D"/>
      <name val="Arial"/>
      <family val="2"/>
    </font>
    <font>
      <b val="true"/>
      <sz val="10"/>
      <color rgb="FF14532D"/>
      <name val="Arial"/>
      <family val="2"/>
    </font>
    <font>
      <b val="true"/>
      <sz val="10"/>
      <color rgb="FFB42318"/>
      <name val="Arial"/>
      <family val="2"/>
    </font>
    <font>
      <b val="true"/>
      <sz val="10"/>
      <color rgb="FF9A6700"/>
      <name val="Arial"/>
      <family val="2"/>
    </font>
    <font>
      <b val="true"/>
      <sz val="10"/>
      <color rgb="FF26734D"/>
      <name val="Arial"/>
      <family val="2"/>
    </font>
    <font>
      <b val="true"/>
      <sz val="10"/>
      <color rgb="FF6B7280"/>
      <name val="Arial"/>
      <family val="2"/>
    </font>
    <font>
      <b val="true"/>
      <sz val="10"/>
      <color rgb="FF17324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7324D"/>
        <bgColor rgb="FF14532D"/>
      </patternFill>
    </fill>
    <fill>
      <patternFill patternType="solid">
        <fgColor rgb="FFDCE7EF"/>
        <bgColor rgb="FFE7F0F7"/>
      </patternFill>
    </fill>
    <fill>
      <patternFill patternType="solid">
        <fgColor rgb="FFD97706"/>
        <bgColor rgb="FFFF9900"/>
      </patternFill>
    </fill>
    <fill>
      <patternFill patternType="solid">
        <fgColor rgb="FFF4F7F9"/>
        <bgColor rgb="FFE8F3EC"/>
      </patternFill>
    </fill>
    <fill>
      <patternFill patternType="solid">
        <fgColor rgb="FFE8F3EC"/>
        <bgColor rgb="FFE7F0F7"/>
      </patternFill>
    </fill>
    <fill>
      <patternFill patternType="solid">
        <fgColor rgb="FFC6E0CD"/>
        <bgColor rgb="FFCCD6DD"/>
      </patternFill>
    </fill>
    <fill>
      <patternFill patternType="solid">
        <fgColor rgb="FF26734D"/>
        <bgColor rgb="FF14532D"/>
      </patternFill>
    </fill>
    <fill>
      <patternFill patternType="solid">
        <fgColor rgb="FFFFF2CC"/>
        <bgColor rgb="FFFCE8E6"/>
      </patternFill>
    </fill>
    <fill>
      <patternFill patternType="solid">
        <fgColor rgb="FFFFFFFF"/>
        <bgColor rgb="FFF4F7F9"/>
      </patternFill>
    </fill>
    <fill>
      <patternFill patternType="solid">
        <fgColor rgb="FFFCE8E6"/>
        <bgColor rgb="FFFFF2CC"/>
      </patternFill>
    </fill>
    <fill>
      <patternFill patternType="solid">
        <fgColor rgb="FFE7F0F7"/>
        <bgColor rgb="FFE8F3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>
        <color rgb="FFB8C7D1"/>
      </left>
      <right style="hair">
        <color rgb="FFB8C7D1"/>
      </right>
      <top style="hair">
        <color rgb="FFB8C7D1"/>
      </top>
      <bottom style="hair">
        <color rgb="FFB8C7D1"/>
      </bottom>
      <diagonal/>
    </border>
    <border diagonalUp="false" diagonalDown="false">
      <left style="hair">
        <color rgb="FF8CB9A0"/>
      </left>
      <right style="hair">
        <color rgb="FF8CB9A0"/>
      </right>
      <top style="hair">
        <color rgb="FF8CB9A0"/>
      </top>
      <bottom style="hair">
        <color rgb="FF8CB9A0"/>
      </bottom>
      <diagonal/>
    </border>
    <border diagonalUp="false" diagonalDown="false">
      <left style="hair">
        <color rgb="FFCCD6DD"/>
      </left>
      <right style="hair">
        <color rgb="FFCCD6DD"/>
      </right>
      <top style="hair">
        <color rgb="FFCCD6DD"/>
      </top>
      <bottom style="hair">
        <color rgb="FFCCD6DD"/>
      </bottom>
      <diagonal/>
    </border>
    <border diagonalUp="false" diagonalDown="false"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1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1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1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0" fillId="1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700"/>
      <rgbColor rgb="FF800080"/>
      <rgbColor rgb="FF26734D"/>
      <rgbColor rgb="FFB8C7D1"/>
      <rgbColor rgb="FF5F6B76"/>
      <rgbColor rgb="FF8CB9A0"/>
      <rgbColor rgb="FF993366"/>
      <rgbColor rgb="FFFFF2CC"/>
      <rgbColor rgb="FFE7F0F7"/>
      <rgbColor rgb="FF660066"/>
      <rgbColor rgb="FFFF8080"/>
      <rgbColor rgb="FF0066CC"/>
      <rgbColor rgb="FFCCD6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EC"/>
      <rgbColor rgb="FFDCE7EF"/>
      <rgbColor rgb="FFFCE8E6"/>
      <rgbColor rgb="FFC6E0CD"/>
      <rgbColor rgb="FFFF99CC"/>
      <rgbColor rgb="FFCC99FF"/>
      <rgbColor rgb="FFF4F7F9"/>
      <rgbColor rgb="FF3366FF"/>
      <rgbColor rgb="FF33CCCC"/>
      <rgbColor rgb="FF99CC00"/>
      <rgbColor rgb="FFFFCC00"/>
      <rgbColor rgb="FFFF9900"/>
      <rgbColor rgb="FFD97706"/>
      <rgbColor rgb="FF6B7280"/>
      <rgbColor rgb="FF9CA3AF"/>
      <rgbColor rgb="FF17324D"/>
      <rgbColor rgb="FF339966"/>
      <rgbColor rgb="FF003300"/>
      <rgbColor rgb="FF333300"/>
      <rgbColor rgb="FFB42318"/>
      <rgbColor rgb="FF993366"/>
      <rgbColor rgb="FF6B4FA1"/>
      <rgbColor rgb="FF1453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49"/>
    <col collapsed="false" customWidth="true" hidden="false" outlineLevel="0" max="2" min="2" style="0" width="16.85"/>
    <col collapsed="false" customWidth="true" hidden="false" outlineLevel="0" max="3" min="3" style="0" width="1.53"/>
    <col collapsed="false" customWidth="true" hidden="false" outlineLevel="0" max="4" min="4" style="0" width="14.3"/>
    <col collapsed="false" customWidth="true" hidden="false" outlineLevel="0" max="5" min="5" style="0" width="22.98"/>
    <col collapsed="false" customWidth="true" hidden="false" outlineLevel="0" max="6" min="6" style="0" width="1.5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.4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2.8" hidden="false" customHeight="false" outlineLevel="0" collapsed="false">
      <c r="A4" s="3" t="s">
        <v>2</v>
      </c>
      <c r="B4" s="3"/>
      <c r="C4" s="3"/>
      <c r="D4" s="3"/>
      <c r="E4" s="3"/>
      <c r="F4" s="3"/>
    </row>
    <row r="6" customFormat="false" ht="21.25" hidden="false" customHeight="true" outlineLevel="0" collapsed="false">
      <c r="A6" s="4" t="s">
        <v>3</v>
      </c>
      <c r="B6" s="5" t="n">
        <f aca="false">Calculos!$B$46</f>
        <v>43516722.2342397</v>
      </c>
      <c r="D6" s="6" t="s">
        <v>4</v>
      </c>
      <c r="E6" s="6" t="str">
        <f aca="false">Inputs!$C$6</f>
        <v>Base</v>
      </c>
    </row>
    <row r="7" customFormat="false" ht="21.25" hidden="false" customHeight="true" outlineLevel="0" collapsed="false">
      <c r="A7" s="4" t="s">
        <v>5</v>
      </c>
      <c r="B7" s="5" t="n">
        <f aca="false">Calculos!$B$51</f>
        <v>46682444.5382397</v>
      </c>
      <c r="D7" s="6" t="s">
        <v>6</v>
      </c>
      <c r="E7" s="7" t="n">
        <f aca="false">Inputs!$C$7</f>
        <v>0.15</v>
      </c>
    </row>
    <row r="8" customFormat="false" ht="21.25" hidden="false" customHeight="true" outlineLevel="0" collapsed="false">
      <c r="A8" s="4" t="s">
        <v>7</v>
      </c>
      <c r="B8" s="5" t="n">
        <f aca="false">Calculos!$B$47</f>
        <v>44017948.2174641</v>
      </c>
      <c r="D8" s="6" t="s">
        <v>8</v>
      </c>
      <c r="E8" s="8" t="n">
        <f aca="false">Inputs!$C$9</f>
        <v>50000000</v>
      </c>
    </row>
    <row r="9" customFormat="false" ht="21.25" hidden="false" customHeight="true" outlineLevel="0" collapsed="false">
      <c r="A9" s="4" t="s">
        <v>9</v>
      </c>
      <c r="B9" s="9" t="n">
        <f aca="false">Calculos!$B$48</f>
        <v>0.356896565571158</v>
      </c>
      <c r="D9" s="6"/>
      <c r="E9" s="6"/>
    </row>
    <row r="10" customFormat="false" ht="21.25" hidden="false" customHeight="true" outlineLevel="0" collapsed="false">
      <c r="A10" s="4" t="s">
        <v>10</v>
      </c>
      <c r="B10" s="10" t="n">
        <f aca="false">Calculos!$B$49</f>
        <v>4.04041972612364</v>
      </c>
      <c r="D10" s="6" t="s">
        <v>11</v>
      </c>
      <c r="E10" s="11" t="str">
        <f aca="false">IF(AND(Resumen!$B$8&gt;0,Resumen!$B$9&gt;Inputs!$C$7,Resumen!$B$7&lt;=Inputs!$C$9),"VIABLE BAJO SUPUESTOS","RECHAZAR O REDISEÑAR")</f>
        <v>VIABLE BAJO SUPUESTOS</v>
      </c>
    </row>
    <row r="11" customFormat="false" ht="21.25" hidden="false" customHeight="true" outlineLevel="0" collapsed="false">
      <c r="A11" s="4" t="s">
        <v>12</v>
      </c>
      <c r="B11" s="10" t="n">
        <f aca="false">Calculos!$B$50</f>
        <v>2.01151800865254</v>
      </c>
      <c r="D11" s="6"/>
      <c r="E11" s="6"/>
    </row>
    <row r="12" customFormat="false" ht="21.25" hidden="false" customHeight="true" outlineLevel="0" collapsed="false">
      <c r="A12" s="4" t="s">
        <v>13</v>
      </c>
      <c r="B12" s="12" t="n">
        <f aca="false">Calculos!$B$52</f>
        <v>2665.5592769623</v>
      </c>
      <c r="D12" s="6" t="s">
        <v>14</v>
      </c>
      <c r="E12" s="6" t="str">
        <f aca="false">IF(ABS(Resumen!$B$8-SUM(Calculos!$B$42:$G$42))&lt;1,"OK","REVISAR")</f>
        <v>OK</v>
      </c>
    </row>
    <row r="13" customFormat="false" ht="12.8" hidden="false" customHeight="false" outlineLevel="0" collapsed="false">
      <c r="D13" s="6" t="s">
        <v>15</v>
      </c>
      <c r="E13" s="6" t="str">
        <f aca="false">IF(AND(Calculos!$B$40&lt;0,Calculos!$G$40&gt;0),"OK","REVISAR TIR")</f>
        <v>OK</v>
      </c>
    </row>
    <row r="15" customFormat="false" ht="12.8" hidden="false" customHeight="false" outlineLevel="0" collapsed="false">
      <c r="A15" s="3" t="s">
        <v>16</v>
      </c>
      <c r="B15" s="3"/>
      <c r="C15" s="3"/>
      <c r="D15" s="3"/>
      <c r="E15" s="3"/>
      <c r="F15" s="3"/>
    </row>
    <row r="17" customFormat="false" ht="12.8" hidden="false" customHeight="false" outlineLevel="0" collapsed="false">
      <c r="A17" s="0" t="s">
        <v>17</v>
      </c>
    </row>
    <row r="18" customFormat="false" ht="12.8" hidden="false" customHeight="false" outlineLevel="0" collapsed="false">
      <c r="A18" s="0" t="s">
        <v>18</v>
      </c>
    </row>
    <row r="19" customFormat="false" ht="12.8" hidden="false" customHeight="false" outlineLevel="0" collapsed="false">
      <c r="A19" s="0" t="s">
        <v>19</v>
      </c>
    </row>
    <row r="20" customFormat="false" ht="12.8" hidden="false" customHeight="false" outlineLevel="0" collapsed="false">
      <c r="A20" s="0" t="s">
        <v>20</v>
      </c>
    </row>
  </sheetData>
  <mergeCells count="4">
    <mergeCell ref="A1:F1"/>
    <mergeCell ref="A2:F2"/>
    <mergeCell ref="A4:F4"/>
    <mergeCell ref="A15:F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G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26.56"/>
    <col collapsed="false" customWidth="true" hidden="false" outlineLevel="0" max="3" min="3" style="0" width="14.3"/>
    <col collapsed="false" customWidth="true" hidden="false" outlineLevel="0" max="4" min="4" style="0" width="17.37"/>
    <col collapsed="false" customWidth="true" hidden="false" outlineLevel="0" max="5" min="5" style="0" width="13.8"/>
    <col collapsed="false" customWidth="true" hidden="false" outlineLevel="0" max="6" min="6" style="0" width="45.96"/>
    <col collapsed="false" customWidth="true" hidden="false" outlineLevel="0" max="7" min="7" style="0" width="53.63"/>
  </cols>
  <sheetData>
    <row r="1" customFormat="false" ht="25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</row>
    <row r="2" customFormat="false" ht="18.45" hidden="false" customHeight="true" outlineLevel="0" collapsed="false">
      <c r="A2" s="2" t="s">
        <v>22</v>
      </c>
      <c r="B2" s="2"/>
      <c r="C2" s="2"/>
      <c r="D2" s="2"/>
      <c r="E2" s="2"/>
      <c r="F2" s="2"/>
      <c r="G2" s="2"/>
    </row>
    <row r="4" customFormat="false" ht="12.8" hidden="false" customHeight="false" outlineLevel="0" collapsed="false">
      <c r="A4" s="13" t="s">
        <v>23</v>
      </c>
      <c r="B4" s="13" t="s">
        <v>24</v>
      </c>
      <c r="C4" s="13" t="s">
        <v>25</v>
      </c>
      <c r="D4" s="13" t="s">
        <v>26</v>
      </c>
      <c r="E4" s="13" t="s">
        <v>27</v>
      </c>
      <c r="F4" s="13" t="s">
        <v>28</v>
      </c>
      <c r="G4" s="13" t="s">
        <v>29</v>
      </c>
    </row>
    <row r="5" customFormat="false" ht="12.8" hidden="false" customHeight="true" outlineLevel="0" collapsed="false">
      <c r="A5" s="14" t="s">
        <v>30</v>
      </c>
      <c r="B5" s="14"/>
      <c r="C5" s="14"/>
      <c r="D5" s="14"/>
      <c r="E5" s="14"/>
      <c r="F5" s="14"/>
      <c r="G5" s="14"/>
    </row>
    <row r="6" customFormat="false" ht="12.8" hidden="false" customHeight="false" outlineLevel="0" collapsed="false">
      <c r="A6" s="15" t="s">
        <v>30</v>
      </c>
      <c r="B6" s="15" t="s">
        <v>31</v>
      </c>
      <c r="C6" s="16" t="s">
        <v>32</v>
      </c>
      <c r="D6" s="15" t="s">
        <v>33</v>
      </c>
      <c r="E6" s="17" t="s">
        <v>34</v>
      </c>
      <c r="F6" s="15" t="s">
        <v>35</v>
      </c>
      <c r="G6" s="15" t="s">
        <v>36</v>
      </c>
    </row>
    <row r="7" customFormat="false" ht="46.25" hidden="false" customHeight="false" outlineLevel="0" collapsed="false">
      <c r="A7" s="18" t="s">
        <v>30</v>
      </c>
      <c r="B7" s="18" t="s">
        <v>37</v>
      </c>
      <c r="C7" s="19" t="n">
        <v>0.15</v>
      </c>
      <c r="D7" s="18" t="s">
        <v>38</v>
      </c>
      <c r="E7" s="20" t="s">
        <v>34</v>
      </c>
      <c r="F7" s="18" t="s">
        <v>39</v>
      </c>
      <c r="G7" s="18" t="s">
        <v>40</v>
      </c>
    </row>
    <row r="8" customFormat="false" ht="35.05" hidden="false" customHeight="false" outlineLevel="0" collapsed="false">
      <c r="A8" s="15" t="s">
        <v>30</v>
      </c>
      <c r="B8" s="15" t="s">
        <v>41</v>
      </c>
      <c r="C8" s="19" t="n">
        <v>0.03</v>
      </c>
      <c r="D8" s="15" t="s">
        <v>42</v>
      </c>
      <c r="E8" s="21" t="s">
        <v>43</v>
      </c>
      <c r="F8" s="15" t="s">
        <v>44</v>
      </c>
      <c r="G8" s="15" t="s">
        <v>45</v>
      </c>
    </row>
    <row r="9" customFormat="false" ht="12.8" hidden="false" customHeight="false" outlineLevel="0" collapsed="false">
      <c r="A9" s="18" t="s">
        <v>30</v>
      </c>
      <c r="B9" s="18" t="s">
        <v>46</v>
      </c>
      <c r="C9" s="22" t="n">
        <v>50000000</v>
      </c>
      <c r="D9" s="18" t="s">
        <v>47</v>
      </c>
      <c r="E9" s="23" t="s">
        <v>48</v>
      </c>
      <c r="F9" s="18" t="s">
        <v>49</v>
      </c>
      <c r="G9" s="18" t="s">
        <v>50</v>
      </c>
    </row>
    <row r="10" customFormat="false" ht="12.8" hidden="false" customHeight="false" outlineLevel="0" collapsed="false">
      <c r="A10" s="15" t="s">
        <v>30</v>
      </c>
      <c r="B10" s="15" t="s">
        <v>51</v>
      </c>
      <c r="C10" s="24" t="n">
        <v>5</v>
      </c>
      <c r="D10" s="15" t="s">
        <v>52</v>
      </c>
      <c r="E10" s="17" t="s">
        <v>34</v>
      </c>
      <c r="F10" s="15" t="s">
        <v>53</v>
      </c>
      <c r="G10" s="15" t="s">
        <v>54</v>
      </c>
    </row>
    <row r="11" customFormat="false" ht="12.8" hidden="false" customHeight="true" outlineLevel="0" collapsed="false">
      <c r="A11" s="14" t="s">
        <v>55</v>
      </c>
      <c r="B11" s="14"/>
      <c r="C11" s="14"/>
      <c r="D11" s="14"/>
      <c r="E11" s="14"/>
      <c r="F11" s="14"/>
      <c r="G11" s="14"/>
    </row>
    <row r="12" customFormat="false" ht="35.05" hidden="false" customHeight="false" outlineLevel="0" collapsed="false">
      <c r="A12" s="15" t="s">
        <v>55</v>
      </c>
      <c r="B12" s="15" t="s">
        <v>56</v>
      </c>
      <c r="C12" s="22" t="n">
        <v>4200</v>
      </c>
      <c r="D12" s="15" t="s">
        <v>57</v>
      </c>
      <c r="E12" s="17" t="s">
        <v>34</v>
      </c>
      <c r="F12" s="15" t="s">
        <v>58</v>
      </c>
      <c r="G12" s="15" t="s">
        <v>59</v>
      </c>
    </row>
    <row r="13" customFormat="false" ht="23.85" hidden="false" customHeight="false" outlineLevel="0" collapsed="false">
      <c r="A13" s="18" t="s">
        <v>55</v>
      </c>
      <c r="B13" s="18" t="s">
        <v>60</v>
      </c>
      <c r="C13" s="24" t="n">
        <v>30000</v>
      </c>
      <c r="D13" s="18" t="s">
        <v>61</v>
      </c>
      <c r="E13" s="20" t="s">
        <v>34</v>
      </c>
      <c r="F13" s="18" t="s">
        <v>62</v>
      </c>
      <c r="G13" s="18" t="s">
        <v>63</v>
      </c>
    </row>
    <row r="14" customFormat="false" ht="12.8" hidden="false" customHeight="false" outlineLevel="0" collapsed="false">
      <c r="A14" s="15" t="s">
        <v>55</v>
      </c>
      <c r="B14" s="15" t="s">
        <v>64</v>
      </c>
      <c r="C14" s="24" t="n">
        <v>42000</v>
      </c>
      <c r="D14" s="15" t="s">
        <v>61</v>
      </c>
      <c r="E14" s="17" t="s">
        <v>34</v>
      </c>
      <c r="F14" s="15" t="s">
        <v>65</v>
      </c>
      <c r="G14" s="15" t="s">
        <v>66</v>
      </c>
    </row>
    <row r="15" customFormat="false" ht="12.8" hidden="false" customHeight="false" outlineLevel="0" collapsed="false">
      <c r="A15" s="18" t="s">
        <v>55</v>
      </c>
      <c r="B15" s="18" t="s">
        <v>67</v>
      </c>
      <c r="C15" s="24" t="n">
        <v>54000</v>
      </c>
      <c r="D15" s="18" t="s">
        <v>61</v>
      </c>
      <c r="E15" s="20" t="s">
        <v>34</v>
      </c>
      <c r="F15" s="18" t="s">
        <v>65</v>
      </c>
      <c r="G15" s="18" t="s">
        <v>66</v>
      </c>
    </row>
    <row r="16" customFormat="false" ht="12.8" hidden="false" customHeight="false" outlineLevel="0" collapsed="false">
      <c r="A16" s="15" t="s">
        <v>55</v>
      </c>
      <c r="B16" s="15" t="s">
        <v>68</v>
      </c>
      <c r="C16" s="24" t="n">
        <v>66000</v>
      </c>
      <c r="D16" s="15" t="s">
        <v>61</v>
      </c>
      <c r="E16" s="17" t="s">
        <v>34</v>
      </c>
      <c r="F16" s="15" t="s">
        <v>65</v>
      </c>
      <c r="G16" s="15" t="s">
        <v>66</v>
      </c>
    </row>
    <row r="17" customFormat="false" ht="12.8" hidden="false" customHeight="false" outlineLevel="0" collapsed="false">
      <c r="A17" s="18" t="s">
        <v>55</v>
      </c>
      <c r="B17" s="18" t="s">
        <v>69</v>
      </c>
      <c r="C17" s="24" t="n">
        <v>72000</v>
      </c>
      <c r="D17" s="18" t="s">
        <v>61</v>
      </c>
      <c r="E17" s="20" t="s">
        <v>34</v>
      </c>
      <c r="F17" s="18" t="s">
        <v>65</v>
      </c>
      <c r="G17" s="18" t="s">
        <v>66</v>
      </c>
    </row>
    <row r="18" customFormat="false" ht="12.8" hidden="false" customHeight="true" outlineLevel="0" collapsed="false">
      <c r="A18" s="14" t="s">
        <v>70</v>
      </c>
      <c r="B18" s="14"/>
      <c r="C18" s="14"/>
      <c r="D18" s="14"/>
      <c r="E18" s="14"/>
      <c r="F18" s="14"/>
      <c r="G18" s="14"/>
    </row>
    <row r="19" customFormat="false" ht="23.85" hidden="false" customHeight="false" outlineLevel="0" collapsed="false">
      <c r="A19" s="18" t="s">
        <v>70</v>
      </c>
      <c r="B19" s="18" t="s">
        <v>71</v>
      </c>
      <c r="C19" s="19" t="n">
        <v>0.125</v>
      </c>
      <c r="D19" s="18" t="s">
        <v>72</v>
      </c>
      <c r="E19" s="23" t="s">
        <v>48</v>
      </c>
      <c r="F19" s="18" t="s">
        <v>73</v>
      </c>
      <c r="G19" s="18" t="s">
        <v>74</v>
      </c>
    </row>
    <row r="20" customFormat="false" ht="23.85" hidden="false" customHeight="false" outlineLevel="0" collapsed="false">
      <c r="A20" s="15" t="s">
        <v>70</v>
      </c>
      <c r="B20" s="15" t="s">
        <v>75</v>
      </c>
      <c r="C20" s="19" t="n">
        <v>0.15</v>
      </c>
      <c r="D20" s="15" t="s">
        <v>76</v>
      </c>
      <c r="E20" s="25" t="s">
        <v>48</v>
      </c>
      <c r="F20" s="15" t="s">
        <v>73</v>
      </c>
      <c r="G20" s="15" t="s">
        <v>77</v>
      </c>
    </row>
    <row r="21" customFormat="false" ht="23.85" hidden="false" customHeight="false" outlineLevel="0" collapsed="false">
      <c r="A21" s="18" t="s">
        <v>70</v>
      </c>
      <c r="B21" s="18" t="s">
        <v>78</v>
      </c>
      <c r="C21" s="19" t="n">
        <v>0.25</v>
      </c>
      <c r="D21" s="18" t="s">
        <v>79</v>
      </c>
      <c r="E21" s="26" t="s">
        <v>43</v>
      </c>
      <c r="F21" s="18" t="s">
        <v>80</v>
      </c>
      <c r="G21" s="18" t="s">
        <v>81</v>
      </c>
    </row>
    <row r="22" customFormat="false" ht="23.85" hidden="false" customHeight="false" outlineLevel="0" collapsed="false">
      <c r="A22" s="15" t="s">
        <v>70</v>
      </c>
      <c r="B22" s="15" t="s">
        <v>82</v>
      </c>
      <c r="C22" s="19" t="n">
        <v>0.25</v>
      </c>
      <c r="D22" s="15" t="s">
        <v>79</v>
      </c>
      <c r="E22" s="21" t="s">
        <v>43</v>
      </c>
      <c r="F22" s="15" t="s">
        <v>80</v>
      </c>
      <c r="G22" s="15" t="s">
        <v>83</v>
      </c>
    </row>
    <row r="23" customFormat="false" ht="23.85" hidden="false" customHeight="false" outlineLevel="0" collapsed="false">
      <c r="A23" s="18" t="s">
        <v>70</v>
      </c>
      <c r="B23" s="18" t="s">
        <v>84</v>
      </c>
      <c r="C23" s="19" t="n">
        <v>0.25</v>
      </c>
      <c r="D23" s="18" t="s">
        <v>79</v>
      </c>
      <c r="E23" s="26" t="s">
        <v>43</v>
      </c>
      <c r="F23" s="18" t="s">
        <v>80</v>
      </c>
      <c r="G23" s="18" t="s">
        <v>83</v>
      </c>
    </row>
    <row r="24" customFormat="false" ht="12.8" hidden="false" customHeight="true" outlineLevel="0" collapsed="false">
      <c r="A24" s="14" t="s">
        <v>85</v>
      </c>
      <c r="B24" s="14"/>
      <c r="C24" s="14"/>
      <c r="D24" s="14"/>
      <c r="E24" s="14"/>
      <c r="F24" s="14"/>
      <c r="G24" s="14"/>
    </row>
    <row r="25" customFormat="false" ht="12.8" hidden="false" customHeight="false" outlineLevel="0" collapsed="false">
      <c r="A25" s="18" t="s">
        <v>85</v>
      </c>
      <c r="B25" s="18" t="s">
        <v>86</v>
      </c>
      <c r="C25" s="27" t="n">
        <v>0.2</v>
      </c>
      <c r="D25" s="18" t="s">
        <v>87</v>
      </c>
      <c r="E25" s="20" t="s">
        <v>34</v>
      </c>
      <c r="F25" s="18" t="s">
        <v>65</v>
      </c>
      <c r="G25" s="18" t="s">
        <v>88</v>
      </c>
    </row>
    <row r="26" customFormat="false" ht="12.8" hidden="false" customHeight="false" outlineLevel="0" collapsed="false">
      <c r="A26" s="15" t="s">
        <v>85</v>
      </c>
      <c r="B26" s="15" t="s">
        <v>89</v>
      </c>
      <c r="C26" s="27" t="n">
        <v>0.08</v>
      </c>
      <c r="D26" s="15" t="s">
        <v>87</v>
      </c>
      <c r="E26" s="17" t="s">
        <v>34</v>
      </c>
      <c r="F26" s="15" t="s">
        <v>65</v>
      </c>
      <c r="G26" s="15" t="s">
        <v>88</v>
      </c>
    </row>
    <row r="27" customFormat="false" ht="12.8" hidden="false" customHeight="false" outlineLevel="0" collapsed="false">
      <c r="A27" s="18" t="s">
        <v>85</v>
      </c>
      <c r="B27" s="18" t="s">
        <v>90</v>
      </c>
      <c r="C27" s="27" t="n">
        <v>0.12</v>
      </c>
      <c r="D27" s="18" t="s">
        <v>87</v>
      </c>
      <c r="E27" s="20" t="s">
        <v>34</v>
      </c>
      <c r="F27" s="18" t="s">
        <v>65</v>
      </c>
      <c r="G27" s="18" t="s">
        <v>91</v>
      </c>
    </row>
    <row r="28" customFormat="false" ht="23.85" hidden="false" customHeight="false" outlineLevel="0" collapsed="false">
      <c r="A28" s="15" t="s">
        <v>85</v>
      </c>
      <c r="B28" s="15" t="s">
        <v>92</v>
      </c>
      <c r="C28" s="22" t="n">
        <v>550</v>
      </c>
      <c r="D28" s="15" t="s">
        <v>93</v>
      </c>
      <c r="E28" s="17" t="s">
        <v>34</v>
      </c>
      <c r="F28" s="15" t="s">
        <v>65</v>
      </c>
      <c r="G28" s="15" t="s">
        <v>94</v>
      </c>
    </row>
    <row r="29" customFormat="false" ht="12.8" hidden="false" customHeight="false" outlineLevel="0" collapsed="false">
      <c r="A29" s="18" t="s">
        <v>85</v>
      </c>
      <c r="B29" s="18" t="s">
        <v>95</v>
      </c>
      <c r="C29" s="22" t="n">
        <v>300</v>
      </c>
      <c r="D29" s="18" t="s">
        <v>93</v>
      </c>
      <c r="E29" s="20" t="s">
        <v>34</v>
      </c>
      <c r="F29" s="18" t="s">
        <v>96</v>
      </c>
      <c r="G29" s="18" t="s">
        <v>97</v>
      </c>
    </row>
    <row r="30" customFormat="false" ht="23.85" hidden="false" customHeight="false" outlineLevel="0" collapsed="false">
      <c r="A30" s="15" t="s">
        <v>85</v>
      </c>
      <c r="B30" s="15" t="s">
        <v>98</v>
      </c>
      <c r="C30" s="22" t="n">
        <v>120</v>
      </c>
      <c r="D30" s="15" t="s">
        <v>99</v>
      </c>
      <c r="E30" s="17" t="s">
        <v>34</v>
      </c>
      <c r="F30" s="15" t="s">
        <v>100</v>
      </c>
      <c r="G30" s="15" t="s">
        <v>101</v>
      </c>
    </row>
    <row r="31" customFormat="false" ht="12.8" hidden="false" customHeight="false" outlineLevel="0" collapsed="false">
      <c r="A31" s="18" t="s">
        <v>85</v>
      </c>
      <c r="B31" s="18" t="s">
        <v>102</v>
      </c>
      <c r="C31" s="22" t="n">
        <v>220</v>
      </c>
      <c r="D31" s="18" t="s">
        <v>99</v>
      </c>
      <c r="E31" s="20" t="s">
        <v>34</v>
      </c>
      <c r="F31" s="18" t="s">
        <v>65</v>
      </c>
      <c r="G31" s="18" t="s">
        <v>103</v>
      </c>
    </row>
    <row r="32" customFormat="false" ht="12.8" hidden="false" customHeight="false" outlineLevel="0" collapsed="false">
      <c r="A32" s="15" t="s">
        <v>85</v>
      </c>
      <c r="B32" s="15" t="s">
        <v>104</v>
      </c>
      <c r="C32" s="19" t="n">
        <v>0.05</v>
      </c>
      <c r="D32" s="15" t="s">
        <v>105</v>
      </c>
      <c r="E32" s="17" t="s">
        <v>34</v>
      </c>
      <c r="F32" s="15" t="s">
        <v>65</v>
      </c>
      <c r="G32" s="15" t="s">
        <v>106</v>
      </c>
    </row>
    <row r="33" customFormat="false" ht="12.8" hidden="false" customHeight="true" outlineLevel="0" collapsed="false">
      <c r="A33" s="14" t="s">
        <v>107</v>
      </c>
      <c r="B33" s="14"/>
      <c r="C33" s="14"/>
      <c r="D33" s="14"/>
      <c r="E33" s="14"/>
      <c r="F33" s="14"/>
      <c r="G33" s="14"/>
    </row>
    <row r="34" customFormat="false" ht="23.85" hidden="false" customHeight="false" outlineLevel="0" collapsed="false">
      <c r="A34" s="15" t="s">
        <v>107</v>
      </c>
      <c r="B34" s="15" t="s">
        <v>108</v>
      </c>
      <c r="C34" s="22" t="n">
        <v>840</v>
      </c>
      <c r="D34" s="15" t="s">
        <v>109</v>
      </c>
      <c r="E34" s="25" t="s">
        <v>48</v>
      </c>
      <c r="F34" s="15" t="s">
        <v>110</v>
      </c>
      <c r="G34" s="15" t="s">
        <v>111</v>
      </c>
    </row>
    <row r="35" customFormat="false" ht="23.85" hidden="false" customHeight="false" outlineLevel="0" collapsed="false">
      <c r="A35" s="18" t="s">
        <v>107</v>
      </c>
      <c r="B35" s="18" t="s">
        <v>112</v>
      </c>
      <c r="C35" s="22" t="n">
        <v>2383.8</v>
      </c>
      <c r="D35" s="18" t="s">
        <v>109</v>
      </c>
      <c r="E35" s="23" t="s">
        <v>48</v>
      </c>
      <c r="F35" s="18" t="s">
        <v>113</v>
      </c>
      <c r="G35" s="18" t="s">
        <v>114</v>
      </c>
    </row>
    <row r="36" customFormat="false" ht="35.05" hidden="false" customHeight="false" outlineLevel="0" collapsed="false">
      <c r="A36" s="15" t="s">
        <v>107</v>
      </c>
      <c r="B36" s="15" t="s">
        <v>115</v>
      </c>
      <c r="C36" s="22" t="n">
        <v>8403.36</v>
      </c>
      <c r="D36" s="15" t="s">
        <v>109</v>
      </c>
      <c r="E36" s="21" t="s">
        <v>43</v>
      </c>
      <c r="F36" s="15" t="s">
        <v>116</v>
      </c>
      <c r="G36" s="15" t="s">
        <v>117</v>
      </c>
    </row>
    <row r="37" customFormat="false" ht="12.8" hidden="false" customHeight="true" outlineLevel="0" collapsed="false">
      <c r="A37" s="14" t="s">
        <v>118</v>
      </c>
      <c r="B37" s="14"/>
      <c r="C37" s="14"/>
      <c r="D37" s="14"/>
      <c r="E37" s="14"/>
      <c r="F37" s="14"/>
      <c r="G37" s="14"/>
    </row>
    <row r="38" customFormat="false" ht="12.8" hidden="false" customHeight="false" outlineLevel="0" collapsed="false">
      <c r="A38" s="15" t="s">
        <v>118</v>
      </c>
      <c r="B38" s="15" t="s">
        <v>119</v>
      </c>
      <c r="C38" s="24" t="n">
        <v>120</v>
      </c>
      <c r="D38" s="15" t="s">
        <v>120</v>
      </c>
      <c r="E38" s="17" t="s">
        <v>34</v>
      </c>
      <c r="F38" s="15" t="s">
        <v>121</v>
      </c>
      <c r="G38" s="15" t="s">
        <v>122</v>
      </c>
    </row>
    <row r="39" customFormat="false" ht="46.25" hidden="false" customHeight="false" outlineLevel="0" collapsed="false">
      <c r="A39" s="18" t="s">
        <v>118</v>
      </c>
      <c r="B39" s="18" t="s">
        <v>123</v>
      </c>
      <c r="C39" s="22" t="n">
        <v>6331</v>
      </c>
      <c r="D39" s="18" t="s">
        <v>124</v>
      </c>
      <c r="E39" s="26" t="s">
        <v>43</v>
      </c>
      <c r="F39" s="18" t="s">
        <v>125</v>
      </c>
      <c r="G39" s="18" t="s">
        <v>126</v>
      </c>
    </row>
    <row r="40" customFormat="false" ht="23.85" hidden="false" customHeight="false" outlineLevel="0" collapsed="false">
      <c r="A40" s="15" t="s">
        <v>118</v>
      </c>
      <c r="B40" s="15" t="s">
        <v>127</v>
      </c>
      <c r="C40" s="22" t="n">
        <v>0</v>
      </c>
      <c r="D40" s="15" t="s">
        <v>128</v>
      </c>
      <c r="E40" s="28" t="s">
        <v>129</v>
      </c>
      <c r="F40" s="15"/>
      <c r="G40" s="15" t="s">
        <v>130</v>
      </c>
    </row>
    <row r="41" customFormat="false" ht="23.85" hidden="false" customHeight="false" outlineLevel="0" collapsed="false">
      <c r="A41" s="18" t="s">
        <v>118</v>
      </c>
      <c r="B41" s="18" t="s">
        <v>131</v>
      </c>
      <c r="C41" s="22" t="n">
        <v>2200000</v>
      </c>
      <c r="D41" s="18" t="s">
        <v>128</v>
      </c>
      <c r="E41" s="20" t="s">
        <v>34</v>
      </c>
      <c r="F41" s="18" t="s">
        <v>132</v>
      </c>
      <c r="G41" s="18" t="s">
        <v>133</v>
      </c>
    </row>
    <row r="42" customFormat="false" ht="23.85" hidden="false" customHeight="false" outlineLevel="0" collapsed="false">
      <c r="A42" s="15" t="s">
        <v>118</v>
      </c>
      <c r="B42" s="15" t="s">
        <v>134</v>
      </c>
      <c r="C42" s="27" t="n">
        <v>1.22</v>
      </c>
      <c r="D42" s="15" t="s">
        <v>135</v>
      </c>
      <c r="E42" s="17" t="s">
        <v>34</v>
      </c>
      <c r="F42" s="15" t="s">
        <v>136</v>
      </c>
      <c r="G42" s="15" t="s">
        <v>137</v>
      </c>
    </row>
    <row r="43" customFormat="false" ht="23.85" hidden="false" customHeight="false" outlineLevel="0" collapsed="false">
      <c r="A43" s="18" t="s">
        <v>118</v>
      </c>
      <c r="B43" s="18" t="s">
        <v>138</v>
      </c>
      <c r="C43" s="22" t="n">
        <v>180000</v>
      </c>
      <c r="D43" s="18" t="s">
        <v>128</v>
      </c>
      <c r="E43" s="20" t="s">
        <v>34</v>
      </c>
      <c r="F43" s="18" t="s">
        <v>65</v>
      </c>
      <c r="G43" s="18" t="s">
        <v>139</v>
      </c>
    </row>
    <row r="44" customFormat="false" ht="12.8" hidden="false" customHeight="false" outlineLevel="0" collapsed="false">
      <c r="A44" s="15" t="s">
        <v>118</v>
      </c>
      <c r="B44" s="15" t="s">
        <v>140</v>
      </c>
      <c r="C44" s="22" t="n">
        <v>100000</v>
      </c>
      <c r="D44" s="15" t="s">
        <v>128</v>
      </c>
      <c r="E44" s="17" t="s">
        <v>34</v>
      </c>
      <c r="F44" s="15" t="s">
        <v>65</v>
      </c>
      <c r="G44" s="15" t="s">
        <v>141</v>
      </c>
    </row>
    <row r="45" customFormat="false" ht="12.8" hidden="false" customHeight="false" outlineLevel="0" collapsed="false">
      <c r="A45" s="18" t="s">
        <v>118</v>
      </c>
      <c r="B45" s="18" t="s">
        <v>142</v>
      </c>
      <c r="C45" s="22" t="n">
        <v>160000</v>
      </c>
      <c r="D45" s="18" t="s">
        <v>128</v>
      </c>
      <c r="E45" s="20" t="s">
        <v>34</v>
      </c>
      <c r="F45" s="18" t="s">
        <v>65</v>
      </c>
      <c r="G45" s="18" t="s">
        <v>143</v>
      </c>
    </row>
    <row r="46" customFormat="false" ht="12.8" hidden="false" customHeight="false" outlineLevel="0" collapsed="false">
      <c r="A46" s="15" t="s">
        <v>118</v>
      </c>
      <c r="B46" s="15" t="s">
        <v>144</v>
      </c>
      <c r="C46" s="22" t="n">
        <v>180000</v>
      </c>
      <c r="D46" s="15" t="s">
        <v>128</v>
      </c>
      <c r="E46" s="17" t="s">
        <v>34</v>
      </c>
      <c r="F46" s="15" t="s">
        <v>65</v>
      </c>
      <c r="G46" s="15" t="s">
        <v>145</v>
      </c>
    </row>
    <row r="47" customFormat="false" ht="12.8" hidden="false" customHeight="false" outlineLevel="0" collapsed="false">
      <c r="A47" s="18" t="s">
        <v>118</v>
      </c>
      <c r="B47" s="18" t="s">
        <v>146</v>
      </c>
      <c r="C47" s="22" t="n">
        <v>60000</v>
      </c>
      <c r="D47" s="18" t="s">
        <v>128</v>
      </c>
      <c r="E47" s="20" t="s">
        <v>34</v>
      </c>
      <c r="F47" s="18" t="s">
        <v>65</v>
      </c>
      <c r="G47" s="18" t="s">
        <v>147</v>
      </c>
    </row>
    <row r="48" customFormat="false" ht="23.85" hidden="false" customHeight="false" outlineLevel="0" collapsed="false">
      <c r="A48" s="15" t="s">
        <v>118</v>
      </c>
      <c r="B48" s="15" t="s">
        <v>148</v>
      </c>
      <c r="C48" s="24" t="n">
        <v>30</v>
      </c>
      <c r="D48" s="15" t="s">
        <v>149</v>
      </c>
      <c r="E48" s="17" t="s">
        <v>34</v>
      </c>
      <c r="F48" s="15" t="s">
        <v>150</v>
      </c>
      <c r="G48" s="15" t="s">
        <v>151</v>
      </c>
    </row>
    <row r="49" customFormat="false" ht="23.85" hidden="false" customHeight="false" outlineLevel="0" collapsed="false">
      <c r="A49" s="18" t="s">
        <v>118</v>
      </c>
      <c r="B49" s="18" t="s">
        <v>152</v>
      </c>
      <c r="C49" s="24" t="n">
        <v>15</v>
      </c>
      <c r="D49" s="18" t="s">
        <v>153</v>
      </c>
      <c r="E49" s="20" t="s">
        <v>34</v>
      </c>
      <c r="F49" s="18" t="s">
        <v>65</v>
      </c>
      <c r="G49" s="18" t="s">
        <v>154</v>
      </c>
    </row>
    <row r="50" customFormat="false" ht="23.85" hidden="false" customHeight="false" outlineLevel="0" collapsed="false">
      <c r="A50" s="15" t="s">
        <v>118</v>
      </c>
      <c r="B50" s="15" t="s">
        <v>155</v>
      </c>
      <c r="C50" s="24" t="n">
        <v>0</v>
      </c>
      <c r="D50" s="15" t="s">
        <v>153</v>
      </c>
      <c r="E50" s="17" t="s">
        <v>34</v>
      </c>
      <c r="F50" s="15" t="s">
        <v>65</v>
      </c>
      <c r="G50" s="15" t="s">
        <v>156</v>
      </c>
    </row>
    <row r="51" customFormat="false" ht="12.8" hidden="false" customHeight="true" outlineLevel="0" collapsed="false">
      <c r="A51" s="14" t="s">
        <v>157</v>
      </c>
      <c r="B51" s="14"/>
      <c r="C51" s="14"/>
      <c r="D51" s="14"/>
      <c r="E51" s="14"/>
      <c r="F51" s="14"/>
      <c r="G51" s="14"/>
    </row>
    <row r="52" customFormat="false" ht="23.85" hidden="false" customHeight="false" outlineLevel="0" collapsed="false">
      <c r="A52" s="15" t="s">
        <v>157</v>
      </c>
      <c r="B52" s="15" t="s">
        <v>158</v>
      </c>
      <c r="C52" s="22" t="n">
        <v>2779980</v>
      </c>
      <c r="D52" s="15" t="s">
        <v>159</v>
      </c>
      <c r="E52" s="25" t="s">
        <v>48</v>
      </c>
      <c r="F52" s="15" t="s">
        <v>100</v>
      </c>
      <c r="G52" s="15" t="s">
        <v>160</v>
      </c>
    </row>
    <row r="53" customFormat="false" ht="23.85" hidden="false" customHeight="false" outlineLevel="0" collapsed="false">
      <c r="A53" s="18" t="s">
        <v>157</v>
      </c>
      <c r="B53" s="18" t="s">
        <v>161</v>
      </c>
      <c r="C53" s="22" t="n">
        <v>747815</v>
      </c>
      <c r="D53" s="18" t="s">
        <v>159</v>
      </c>
      <c r="E53" s="23" t="s">
        <v>48</v>
      </c>
      <c r="F53" s="18" t="s">
        <v>162</v>
      </c>
      <c r="G53" s="18" t="s">
        <v>163</v>
      </c>
    </row>
    <row r="54" customFormat="false" ht="23.85" hidden="false" customHeight="false" outlineLevel="0" collapsed="false">
      <c r="A54" s="15" t="s">
        <v>157</v>
      </c>
      <c r="B54" s="15" t="s">
        <v>164</v>
      </c>
      <c r="C54" s="22" t="n">
        <v>400000</v>
      </c>
      <c r="D54" s="15" t="s">
        <v>159</v>
      </c>
      <c r="E54" s="25" t="s">
        <v>48</v>
      </c>
      <c r="F54" s="15" t="s">
        <v>165</v>
      </c>
      <c r="G54" s="15" t="s">
        <v>166</v>
      </c>
    </row>
    <row r="55" customFormat="false" ht="23.85" hidden="false" customHeight="false" outlineLevel="0" collapsed="false">
      <c r="A55" s="18" t="s">
        <v>157</v>
      </c>
      <c r="B55" s="18" t="s">
        <v>167</v>
      </c>
      <c r="C55" s="22" t="n">
        <v>570000</v>
      </c>
      <c r="D55" s="18" t="s">
        <v>159</v>
      </c>
      <c r="E55" s="26" t="s">
        <v>43</v>
      </c>
      <c r="F55" s="18" t="s">
        <v>168</v>
      </c>
      <c r="G55" s="18" t="s">
        <v>169</v>
      </c>
    </row>
    <row r="56" customFormat="false" ht="23.85" hidden="false" customHeight="false" outlineLevel="0" collapsed="false">
      <c r="A56" s="15" t="s">
        <v>157</v>
      </c>
      <c r="B56" s="15" t="s">
        <v>170</v>
      </c>
      <c r="C56" s="22" t="n">
        <v>620000</v>
      </c>
      <c r="D56" s="15" t="s">
        <v>159</v>
      </c>
      <c r="E56" s="21" t="s">
        <v>43</v>
      </c>
      <c r="F56" s="15" t="s">
        <v>171</v>
      </c>
      <c r="G56" s="15" t="s">
        <v>172</v>
      </c>
    </row>
    <row r="57" customFormat="false" ht="23.85" hidden="false" customHeight="false" outlineLevel="0" collapsed="false">
      <c r="A57" s="18" t="s">
        <v>157</v>
      </c>
      <c r="B57" s="18" t="s">
        <v>173</v>
      </c>
      <c r="C57" s="22" t="n">
        <v>700000</v>
      </c>
      <c r="D57" s="18" t="s">
        <v>159</v>
      </c>
      <c r="E57" s="20" t="s">
        <v>34</v>
      </c>
      <c r="F57" s="18" t="s">
        <v>174</v>
      </c>
      <c r="G57" s="18" t="s">
        <v>175</v>
      </c>
    </row>
    <row r="58" customFormat="false" ht="23.85" hidden="false" customHeight="false" outlineLevel="0" collapsed="false">
      <c r="A58" s="15" t="s">
        <v>157</v>
      </c>
      <c r="B58" s="15" t="s">
        <v>176</v>
      </c>
      <c r="C58" s="22" t="n">
        <v>1800000</v>
      </c>
      <c r="D58" s="15" t="s">
        <v>159</v>
      </c>
      <c r="E58" s="17" t="s">
        <v>34</v>
      </c>
      <c r="F58" s="15" t="s">
        <v>65</v>
      </c>
      <c r="G58" s="15" t="s">
        <v>177</v>
      </c>
    </row>
    <row r="59" customFormat="false" ht="12.8" hidden="false" customHeight="false" outlineLevel="0" collapsed="false">
      <c r="A59" s="18" t="s">
        <v>157</v>
      </c>
      <c r="B59" s="18" t="s">
        <v>178</v>
      </c>
      <c r="C59" s="22" t="n">
        <v>1200000</v>
      </c>
      <c r="D59" s="18" t="s">
        <v>159</v>
      </c>
      <c r="E59" s="20" t="s">
        <v>34</v>
      </c>
      <c r="F59" s="18" t="s">
        <v>65</v>
      </c>
      <c r="G59" s="18" t="s">
        <v>179</v>
      </c>
    </row>
    <row r="60" customFormat="false" ht="12.8" hidden="false" customHeight="false" outlineLevel="0" collapsed="false">
      <c r="A60" s="15" t="s">
        <v>157</v>
      </c>
      <c r="B60" s="15" t="s">
        <v>180</v>
      </c>
      <c r="C60" s="19" t="n">
        <v>0.15</v>
      </c>
      <c r="D60" s="15" t="s">
        <v>181</v>
      </c>
      <c r="E60" s="17" t="s">
        <v>34</v>
      </c>
      <c r="F60" s="15" t="s">
        <v>65</v>
      </c>
      <c r="G60" s="15" t="s">
        <v>182</v>
      </c>
    </row>
    <row r="61" customFormat="false" ht="23.85" hidden="false" customHeight="false" outlineLevel="0" collapsed="false">
      <c r="A61" s="18" t="s">
        <v>157</v>
      </c>
      <c r="B61" s="18" t="s">
        <v>183</v>
      </c>
      <c r="C61" s="22" t="n">
        <v>12000000</v>
      </c>
      <c r="D61" s="18" t="s">
        <v>159</v>
      </c>
      <c r="E61" s="20" t="s">
        <v>34</v>
      </c>
      <c r="F61" s="18" t="s">
        <v>121</v>
      </c>
      <c r="G61" s="18" t="s">
        <v>184</v>
      </c>
    </row>
    <row r="62" customFormat="false" ht="12.8" hidden="false" customHeight="false" outlineLevel="0" collapsed="false">
      <c r="A62" s="15" t="s">
        <v>157</v>
      </c>
      <c r="B62" s="15" t="s">
        <v>185</v>
      </c>
      <c r="C62" s="22" t="n">
        <v>1000000</v>
      </c>
      <c r="D62" s="15" t="s">
        <v>159</v>
      </c>
      <c r="E62" s="17" t="s">
        <v>34</v>
      </c>
      <c r="F62" s="15" t="s">
        <v>186</v>
      </c>
      <c r="G62" s="15" t="s">
        <v>187</v>
      </c>
    </row>
    <row r="63" customFormat="false" ht="12.8" hidden="false" customHeight="false" outlineLevel="0" collapsed="false">
      <c r="A63" s="18" t="s">
        <v>157</v>
      </c>
      <c r="B63" s="18" t="s">
        <v>188</v>
      </c>
      <c r="C63" s="22" t="n">
        <v>1500000</v>
      </c>
      <c r="D63" s="18" t="s">
        <v>159</v>
      </c>
      <c r="E63" s="20" t="s">
        <v>34</v>
      </c>
      <c r="F63" s="18" t="s">
        <v>65</v>
      </c>
      <c r="G63" s="18" t="s">
        <v>189</v>
      </c>
    </row>
    <row r="64" customFormat="false" ht="35.05" hidden="false" customHeight="false" outlineLevel="0" collapsed="false">
      <c r="A64" s="15" t="s">
        <v>157</v>
      </c>
      <c r="B64" s="15" t="s">
        <v>190</v>
      </c>
      <c r="C64" s="19" t="n">
        <v>0.15</v>
      </c>
      <c r="D64" s="15" t="s">
        <v>191</v>
      </c>
      <c r="E64" s="17" t="s">
        <v>34</v>
      </c>
      <c r="F64" s="15" t="s">
        <v>65</v>
      </c>
      <c r="G64" s="15" t="s">
        <v>192</v>
      </c>
    </row>
    <row r="65" customFormat="false" ht="12.8" hidden="false" customHeight="false" outlineLevel="0" collapsed="false">
      <c r="A65" s="18" t="s">
        <v>157</v>
      </c>
      <c r="B65" s="18" t="s">
        <v>193</v>
      </c>
      <c r="C65" s="24" t="n">
        <v>2</v>
      </c>
      <c r="D65" s="18" t="s">
        <v>194</v>
      </c>
      <c r="E65" s="20" t="s">
        <v>34</v>
      </c>
      <c r="F65" s="18" t="s">
        <v>65</v>
      </c>
      <c r="G65" s="18" t="s">
        <v>195</v>
      </c>
    </row>
    <row r="66" customFormat="false" ht="23.85" hidden="false" customHeight="false" outlineLevel="0" collapsed="false">
      <c r="A66" s="15" t="s">
        <v>157</v>
      </c>
      <c r="B66" s="15" t="s">
        <v>196</v>
      </c>
      <c r="C66" s="24" t="n">
        <v>5</v>
      </c>
      <c r="D66" s="15" t="s">
        <v>197</v>
      </c>
      <c r="E66" s="17" t="s">
        <v>34</v>
      </c>
      <c r="F66" s="15" t="s">
        <v>198</v>
      </c>
      <c r="G66" s="15" t="s">
        <v>199</v>
      </c>
    </row>
    <row r="67" customFormat="false" ht="23.85" hidden="false" customHeight="false" outlineLevel="0" collapsed="false">
      <c r="A67" s="18" t="s">
        <v>157</v>
      </c>
      <c r="B67" s="18" t="s">
        <v>200</v>
      </c>
      <c r="C67" s="19" t="n">
        <v>0.1</v>
      </c>
      <c r="D67" s="18" t="s">
        <v>201</v>
      </c>
      <c r="E67" s="20" t="s">
        <v>34</v>
      </c>
      <c r="F67" s="18" t="s">
        <v>65</v>
      </c>
      <c r="G67" s="18" t="s">
        <v>202</v>
      </c>
    </row>
    <row r="68" customFormat="false" ht="12.8" hidden="false" customHeight="true" outlineLevel="0" collapsed="false">
      <c r="A68" s="14" t="s">
        <v>203</v>
      </c>
      <c r="B68" s="14"/>
      <c r="C68" s="14"/>
      <c r="D68" s="14"/>
      <c r="E68" s="14"/>
      <c r="F68" s="14"/>
      <c r="G68" s="14"/>
    </row>
    <row r="69" customFormat="false" ht="12.8" hidden="false" customHeight="false" outlineLevel="0" collapsed="false">
      <c r="A69" s="18" t="s">
        <v>203</v>
      </c>
      <c r="B69" s="18" t="s">
        <v>204</v>
      </c>
      <c r="C69" s="27" t="n">
        <v>0.9</v>
      </c>
      <c r="D69" s="18" t="s">
        <v>135</v>
      </c>
      <c r="E69" s="20" t="s">
        <v>34</v>
      </c>
      <c r="F69" s="18" t="s">
        <v>65</v>
      </c>
      <c r="G69" s="18" t="s">
        <v>205</v>
      </c>
    </row>
    <row r="70" customFormat="false" ht="12.8" hidden="false" customHeight="false" outlineLevel="0" collapsed="false">
      <c r="A70" s="15" t="s">
        <v>203</v>
      </c>
      <c r="B70" s="15" t="s">
        <v>206</v>
      </c>
      <c r="C70" s="27" t="n">
        <v>0.8</v>
      </c>
      <c r="D70" s="15" t="s">
        <v>135</v>
      </c>
      <c r="E70" s="17" t="s">
        <v>34</v>
      </c>
      <c r="F70" s="15" t="s">
        <v>65</v>
      </c>
      <c r="G70" s="15" t="s">
        <v>205</v>
      </c>
    </row>
    <row r="71" customFormat="false" ht="12.8" hidden="false" customHeight="false" outlineLevel="0" collapsed="false">
      <c r="A71" s="18" t="s">
        <v>203</v>
      </c>
      <c r="B71" s="18" t="s">
        <v>207</v>
      </c>
      <c r="C71" s="27" t="n">
        <v>1.1</v>
      </c>
      <c r="D71" s="18" t="s">
        <v>135</v>
      </c>
      <c r="E71" s="20" t="s">
        <v>34</v>
      </c>
      <c r="F71" s="18" t="s">
        <v>65</v>
      </c>
      <c r="G71" s="18" t="s">
        <v>205</v>
      </c>
    </row>
    <row r="72" customFormat="false" ht="12.8" hidden="false" customHeight="false" outlineLevel="0" collapsed="false">
      <c r="A72" s="15" t="s">
        <v>203</v>
      </c>
      <c r="B72" s="15" t="s">
        <v>208</v>
      </c>
      <c r="C72" s="27" t="n">
        <v>1.1</v>
      </c>
      <c r="D72" s="15" t="s">
        <v>135</v>
      </c>
      <c r="E72" s="17" t="s">
        <v>34</v>
      </c>
      <c r="F72" s="15" t="s">
        <v>65</v>
      </c>
      <c r="G72" s="15" t="s">
        <v>205</v>
      </c>
    </row>
    <row r="73" customFormat="false" ht="12.8" hidden="false" customHeight="false" outlineLevel="0" collapsed="false">
      <c r="A73" s="18" t="s">
        <v>203</v>
      </c>
      <c r="B73" s="18" t="s">
        <v>209</v>
      </c>
      <c r="C73" s="27" t="n">
        <v>1.15</v>
      </c>
      <c r="D73" s="18" t="s">
        <v>135</v>
      </c>
      <c r="E73" s="20" t="s">
        <v>34</v>
      </c>
      <c r="F73" s="18" t="s">
        <v>65</v>
      </c>
      <c r="G73" s="18" t="s">
        <v>205</v>
      </c>
    </row>
    <row r="74" customFormat="false" ht="12.8" hidden="false" customHeight="false" outlineLevel="0" collapsed="false">
      <c r="A74" s="15" t="s">
        <v>203</v>
      </c>
      <c r="B74" s="15" t="s">
        <v>210</v>
      </c>
      <c r="C74" s="24" t="n">
        <v>1</v>
      </c>
      <c r="D74" s="15" t="s">
        <v>135</v>
      </c>
      <c r="E74" s="17" t="s">
        <v>34</v>
      </c>
      <c r="F74" s="15" t="s">
        <v>65</v>
      </c>
      <c r="G74" s="15" t="s">
        <v>205</v>
      </c>
    </row>
    <row r="75" customFormat="false" ht="12.8" hidden="false" customHeight="false" outlineLevel="0" collapsed="false">
      <c r="A75" s="18" t="s">
        <v>203</v>
      </c>
      <c r="B75" s="18" t="s">
        <v>211</v>
      </c>
      <c r="C75" s="24" t="n">
        <v>1</v>
      </c>
      <c r="D75" s="18" t="s">
        <v>135</v>
      </c>
      <c r="E75" s="20" t="s">
        <v>34</v>
      </c>
      <c r="F75" s="18" t="s">
        <v>65</v>
      </c>
      <c r="G75" s="18" t="s">
        <v>205</v>
      </c>
    </row>
    <row r="76" customFormat="false" ht="12.8" hidden="false" customHeight="false" outlineLevel="0" collapsed="false">
      <c r="A76" s="15" t="s">
        <v>203</v>
      </c>
      <c r="B76" s="15" t="s">
        <v>212</v>
      </c>
      <c r="C76" s="24" t="n">
        <v>1</v>
      </c>
      <c r="D76" s="15" t="s">
        <v>135</v>
      </c>
      <c r="E76" s="17" t="s">
        <v>34</v>
      </c>
      <c r="F76" s="15" t="s">
        <v>65</v>
      </c>
      <c r="G76" s="15" t="s">
        <v>205</v>
      </c>
    </row>
    <row r="77" customFormat="false" ht="12.8" hidden="false" customHeight="false" outlineLevel="0" collapsed="false">
      <c r="A77" s="18" t="s">
        <v>203</v>
      </c>
      <c r="B77" s="18" t="s">
        <v>213</v>
      </c>
      <c r="C77" s="24" t="n">
        <v>1</v>
      </c>
      <c r="D77" s="18" t="s">
        <v>135</v>
      </c>
      <c r="E77" s="20" t="s">
        <v>34</v>
      </c>
      <c r="F77" s="18" t="s">
        <v>65</v>
      </c>
      <c r="G77" s="18" t="s">
        <v>205</v>
      </c>
    </row>
    <row r="78" customFormat="false" ht="12.8" hidden="false" customHeight="false" outlineLevel="0" collapsed="false">
      <c r="A78" s="15" t="s">
        <v>203</v>
      </c>
      <c r="B78" s="15" t="s">
        <v>214</v>
      </c>
      <c r="C78" s="24" t="n">
        <v>1</v>
      </c>
      <c r="D78" s="15" t="s">
        <v>135</v>
      </c>
      <c r="E78" s="17" t="s">
        <v>34</v>
      </c>
      <c r="F78" s="15" t="s">
        <v>65</v>
      </c>
      <c r="G78" s="15" t="s">
        <v>205</v>
      </c>
    </row>
    <row r="79" customFormat="false" ht="12.8" hidden="false" customHeight="false" outlineLevel="0" collapsed="false">
      <c r="A79" s="18" t="s">
        <v>203</v>
      </c>
      <c r="B79" s="18" t="s">
        <v>215</v>
      </c>
      <c r="C79" s="27" t="n">
        <v>1.1</v>
      </c>
      <c r="D79" s="18" t="s">
        <v>135</v>
      </c>
      <c r="E79" s="20" t="s">
        <v>34</v>
      </c>
      <c r="F79" s="18" t="s">
        <v>65</v>
      </c>
      <c r="G79" s="18" t="s">
        <v>205</v>
      </c>
    </row>
    <row r="80" customFormat="false" ht="12.8" hidden="false" customHeight="false" outlineLevel="0" collapsed="false">
      <c r="A80" s="15" t="s">
        <v>203</v>
      </c>
      <c r="B80" s="15" t="s">
        <v>216</v>
      </c>
      <c r="C80" s="27" t="n">
        <v>1.2</v>
      </c>
      <c r="D80" s="15" t="s">
        <v>135</v>
      </c>
      <c r="E80" s="17" t="s">
        <v>34</v>
      </c>
      <c r="F80" s="15" t="s">
        <v>65</v>
      </c>
      <c r="G80" s="15" t="s">
        <v>205</v>
      </c>
    </row>
    <row r="81" customFormat="false" ht="12.8" hidden="false" customHeight="false" outlineLevel="0" collapsed="false">
      <c r="A81" s="18" t="s">
        <v>203</v>
      </c>
      <c r="B81" s="18" t="s">
        <v>217</v>
      </c>
      <c r="C81" s="27" t="n">
        <v>0.95</v>
      </c>
      <c r="D81" s="18" t="s">
        <v>135</v>
      </c>
      <c r="E81" s="20" t="s">
        <v>34</v>
      </c>
      <c r="F81" s="18" t="s">
        <v>65</v>
      </c>
      <c r="G81" s="18" t="s">
        <v>205</v>
      </c>
    </row>
    <row r="82" customFormat="false" ht="12.8" hidden="false" customHeight="false" outlineLevel="0" collapsed="false">
      <c r="A82" s="15" t="s">
        <v>203</v>
      </c>
      <c r="B82" s="15" t="s">
        <v>218</v>
      </c>
      <c r="C82" s="24" t="n">
        <v>1</v>
      </c>
      <c r="D82" s="15" t="s">
        <v>135</v>
      </c>
      <c r="E82" s="17" t="s">
        <v>34</v>
      </c>
      <c r="F82" s="15" t="s">
        <v>65</v>
      </c>
      <c r="G82" s="15" t="s">
        <v>205</v>
      </c>
    </row>
    <row r="83" customFormat="false" ht="12.8" hidden="false" customHeight="false" outlineLevel="0" collapsed="false">
      <c r="A83" s="18" t="s">
        <v>203</v>
      </c>
      <c r="B83" s="18" t="s">
        <v>219</v>
      </c>
      <c r="C83" s="27" t="n">
        <v>0.95</v>
      </c>
      <c r="D83" s="18" t="s">
        <v>135</v>
      </c>
      <c r="E83" s="20" t="s">
        <v>34</v>
      </c>
      <c r="F83" s="18" t="s">
        <v>65</v>
      </c>
      <c r="G83" s="18" t="s">
        <v>205</v>
      </c>
    </row>
    <row r="84" customFormat="false" ht="12.8" hidden="false" customHeight="false" outlineLevel="0" collapsed="false">
      <c r="A84" s="15" t="s">
        <v>203</v>
      </c>
      <c r="B84" s="15" t="s">
        <v>220</v>
      </c>
      <c r="C84" s="27" t="n">
        <v>0.9</v>
      </c>
      <c r="D84" s="15" t="s">
        <v>135</v>
      </c>
      <c r="E84" s="17" t="s">
        <v>34</v>
      </c>
      <c r="F84" s="15" t="s">
        <v>65</v>
      </c>
      <c r="G84" s="15" t="s">
        <v>205</v>
      </c>
    </row>
    <row r="85" customFormat="false" ht="12.8" hidden="false" customHeight="false" outlineLevel="0" collapsed="false">
      <c r="A85" s="18" t="s">
        <v>203</v>
      </c>
      <c r="B85" s="18" t="s">
        <v>221</v>
      </c>
      <c r="C85" s="27" t="n">
        <v>1.1</v>
      </c>
      <c r="D85" s="18" t="s">
        <v>135</v>
      </c>
      <c r="E85" s="20" t="s">
        <v>34</v>
      </c>
      <c r="F85" s="18" t="s">
        <v>65</v>
      </c>
      <c r="G85" s="18" t="s">
        <v>205</v>
      </c>
    </row>
    <row r="86" customFormat="false" ht="12.8" hidden="false" customHeight="false" outlineLevel="0" collapsed="false">
      <c r="A86" s="15" t="s">
        <v>203</v>
      </c>
      <c r="B86" s="15" t="s">
        <v>222</v>
      </c>
      <c r="C86" s="27" t="n">
        <v>0.8</v>
      </c>
      <c r="D86" s="15" t="s">
        <v>135</v>
      </c>
      <c r="E86" s="17" t="s">
        <v>34</v>
      </c>
      <c r="F86" s="15" t="s">
        <v>65</v>
      </c>
      <c r="G86" s="15" t="s">
        <v>205</v>
      </c>
    </row>
    <row r="87" customFormat="false" ht="12.8" hidden="false" customHeight="false" outlineLevel="0" collapsed="false">
      <c r="A87" s="18" t="s">
        <v>203</v>
      </c>
      <c r="B87" s="18" t="s">
        <v>223</v>
      </c>
      <c r="C87" s="27" t="n">
        <v>1.2</v>
      </c>
      <c r="D87" s="18" t="s">
        <v>135</v>
      </c>
      <c r="E87" s="20" t="s">
        <v>34</v>
      </c>
      <c r="F87" s="18" t="s">
        <v>65</v>
      </c>
      <c r="G87" s="18" t="s">
        <v>205</v>
      </c>
    </row>
  </sheetData>
  <mergeCells count="10">
    <mergeCell ref="A1:G1"/>
    <mergeCell ref="A2:G2"/>
    <mergeCell ref="A5:G5"/>
    <mergeCell ref="A11:G11"/>
    <mergeCell ref="A18:G18"/>
    <mergeCell ref="A24:G24"/>
    <mergeCell ref="A33:G33"/>
    <mergeCell ref="A37:G37"/>
    <mergeCell ref="A51:G51"/>
    <mergeCell ref="A68:G6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2"/>
    <col collapsed="false" customWidth="true" hidden="false" outlineLevel="0" max="2" min="2" style="0" width="21.45"/>
    <col collapsed="false" customWidth="true" hidden="false" outlineLevel="0" max="3" min="3" style="0" width="33.2"/>
    <col collapsed="false" customWidth="true" hidden="false" outlineLevel="0" max="4" min="4" style="0" width="25.54"/>
  </cols>
  <sheetData>
    <row r="1" customFormat="false" ht="25.5" hidden="false" customHeight="true" outlineLevel="0" collapsed="false">
      <c r="A1" s="1" t="s">
        <v>224</v>
      </c>
      <c r="B1" s="1"/>
      <c r="C1" s="1"/>
      <c r="D1" s="1"/>
    </row>
    <row r="2" customFormat="false" ht="18.45" hidden="false" customHeight="true" outlineLevel="0" collapsed="false">
      <c r="A2" s="2" t="s">
        <v>225</v>
      </c>
      <c r="B2" s="2"/>
      <c r="C2" s="2"/>
      <c r="D2" s="2"/>
    </row>
    <row r="4" customFormat="false" ht="18.45" hidden="false" customHeight="true" outlineLevel="0" collapsed="false">
      <c r="A4" s="13" t="s">
        <v>226</v>
      </c>
      <c r="B4" s="13" t="s">
        <v>227</v>
      </c>
      <c r="C4" s="13" t="s">
        <v>228</v>
      </c>
      <c r="D4" s="13" t="s">
        <v>229</v>
      </c>
    </row>
    <row r="5" customFormat="false" ht="12.8" hidden="false" customHeight="false" outlineLevel="0" collapsed="false">
      <c r="A5" s="29" t="s">
        <v>230</v>
      </c>
      <c r="B5" s="30" t="n">
        <f aca="false">Calculos!$B$11</f>
        <v>8817795</v>
      </c>
      <c r="C5" s="29" t="s">
        <v>231</v>
      </c>
      <c r="D5" s="29" t="s">
        <v>232</v>
      </c>
    </row>
    <row r="6" customFormat="false" ht="12.8" hidden="false" customHeight="false" outlineLevel="0" collapsed="false">
      <c r="A6" s="31" t="s">
        <v>180</v>
      </c>
      <c r="B6" s="32" t="n">
        <f aca="false">Calculos!$B$12</f>
        <v>1322669.25</v>
      </c>
      <c r="C6" s="31" t="s">
        <v>231</v>
      </c>
      <c r="D6" s="31" t="s">
        <v>232</v>
      </c>
    </row>
    <row r="7" customFormat="false" ht="12.8" hidden="false" customHeight="false" outlineLevel="0" collapsed="false">
      <c r="A7" s="29" t="s">
        <v>233</v>
      </c>
      <c r="B7" s="30" t="n">
        <f aca="false">Calculos!$B$16-Calculos!$B$11-Calculos!$B$12</f>
        <v>15321069.6375</v>
      </c>
      <c r="C7" s="29" t="s">
        <v>231</v>
      </c>
      <c r="D7" s="29" t="s">
        <v>232</v>
      </c>
    </row>
    <row r="8" customFormat="false" ht="12.8" hidden="false" customHeight="false" outlineLevel="0" collapsed="false">
      <c r="A8" s="31" t="s">
        <v>234</v>
      </c>
      <c r="B8" s="32" t="n">
        <f aca="false">Calculos!$B$17-Calculos!$B$16</f>
        <v>2500000</v>
      </c>
      <c r="C8" s="31" t="s">
        <v>235</v>
      </c>
      <c r="D8" s="31" t="s">
        <v>232</v>
      </c>
    </row>
    <row r="9" customFormat="false" ht="12.8" hidden="false" customHeight="false" outlineLevel="0" collapsed="false">
      <c r="A9" s="29" t="s">
        <v>193</v>
      </c>
      <c r="B9" s="33" t="n">
        <f aca="false">Calculos!$B$20</f>
        <v>1519440</v>
      </c>
      <c r="C9" s="29" t="s">
        <v>236</v>
      </c>
      <c r="D9" s="29" t="s">
        <v>232</v>
      </c>
    </row>
    <row r="10" customFormat="false" ht="12.8" hidden="false" customHeight="false" outlineLevel="0" collapsed="false">
      <c r="A10" s="31" t="s">
        <v>237</v>
      </c>
      <c r="B10" s="32" t="n">
        <f aca="false">Calculos!$C$37</f>
        <v>14035748.3467397</v>
      </c>
      <c r="C10" s="31" t="s">
        <v>236</v>
      </c>
      <c r="D10" s="31" t="s">
        <v>232</v>
      </c>
    </row>
    <row r="12" customFormat="false" ht="12.8" hidden="false" customHeight="false" outlineLevel="0" collapsed="false">
      <c r="A12" s="34" t="s">
        <v>238</v>
      </c>
      <c r="B12" s="35" t="n">
        <f aca="false">Calculos!$B$46</f>
        <v>43516722.2342397</v>
      </c>
      <c r="C12" s="34"/>
      <c r="D12" s="34"/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734D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2"/>
    <col collapsed="false" customWidth="true" hidden="false" outlineLevel="0" max="7" min="2" style="0" width="18.39"/>
  </cols>
  <sheetData>
    <row r="1" customFormat="false" ht="25.5" hidden="false" customHeight="true" outlineLevel="0" collapsed="false">
      <c r="A1" s="1" t="s">
        <v>239</v>
      </c>
      <c r="B1" s="1"/>
      <c r="C1" s="1"/>
      <c r="D1" s="1"/>
      <c r="E1" s="1"/>
      <c r="F1" s="1"/>
      <c r="G1" s="1"/>
    </row>
    <row r="2" customFormat="false" ht="18.45" hidden="false" customHeight="true" outlineLevel="0" collapsed="false">
      <c r="A2" s="2" t="s">
        <v>240</v>
      </c>
      <c r="B2" s="2"/>
      <c r="C2" s="2"/>
      <c r="D2" s="2"/>
      <c r="E2" s="2"/>
      <c r="F2" s="2"/>
      <c r="G2" s="2"/>
    </row>
    <row r="4" customFormat="false" ht="18.45" hidden="false" customHeight="true" outlineLevel="0" collapsed="false">
      <c r="A4" s="13" t="s">
        <v>226</v>
      </c>
      <c r="B4" s="13" t="s">
        <v>241</v>
      </c>
      <c r="C4" s="13" t="s">
        <v>242</v>
      </c>
      <c r="D4" s="13" t="s">
        <v>243</v>
      </c>
      <c r="E4" s="13" t="s">
        <v>244</v>
      </c>
      <c r="F4" s="13" t="s">
        <v>245</v>
      </c>
      <c r="G4" s="13" t="s">
        <v>246</v>
      </c>
    </row>
    <row r="5" customFormat="false" ht="12.8" hidden="false" customHeight="false" outlineLevel="0" collapsed="false">
      <c r="A5" s="29" t="s">
        <v>247</v>
      </c>
      <c r="B5" s="36" t="n">
        <f aca="false">Calculos!$B$23</f>
        <v>0</v>
      </c>
      <c r="C5" s="36" t="n">
        <f aca="false">Calculos!$C$23</f>
        <v>30000</v>
      </c>
      <c r="D5" s="36" t="n">
        <f aca="false">Calculos!$D$23</f>
        <v>42000</v>
      </c>
      <c r="E5" s="36" t="n">
        <f aca="false">Calculos!$E$23</f>
        <v>54000</v>
      </c>
      <c r="F5" s="36" t="n">
        <f aca="false">Calculos!$F$23</f>
        <v>66000</v>
      </c>
      <c r="G5" s="36" t="n">
        <f aca="false">Calculos!$G$23</f>
        <v>72000</v>
      </c>
    </row>
    <row r="6" customFormat="false" ht="12.8" hidden="false" customHeight="false" outlineLevel="0" collapsed="false">
      <c r="A6" s="31" t="s">
        <v>248</v>
      </c>
      <c r="B6" s="37" t="n">
        <f aca="false">Calculos!$B$25</f>
        <v>0</v>
      </c>
      <c r="C6" s="37" t="n">
        <f aca="false">Calculos!$C$25</f>
        <v>4326</v>
      </c>
      <c r="D6" s="37" t="n">
        <f aca="false">Calculos!$D$25</f>
        <v>4455.78</v>
      </c>
      <c r="E6" s="37" t="n">
        <f aca="false">Calculos!$E$25</f>
        <v>4589.4534</v>
      </c>
      <c r="F6" s="37" t="n">
        <f aca="false">Calculos!$F$25</f>
        <v>4727.137002</v>
      </c>
      <c r="G6" s="37" t="n">
        <f aca="false">Calculos!$G$25</f>
        <v>4868.95111206</v>
      </c>
    </row>
    <row r="7" customFormat="false" ht="12.8" hidden="false" customHeight="false" outlineLevel="0" collapsed="false">
      <c r="A7" s="29" t="s">
        <v>249</v>
      </c>
      <c r="B7" s="33" t="n">
        <f aca="false">Calculos!$B$27</f>
        <v>0</v>
      </c>
      <c r="C7" s="33" t="n">
        <f aca="false">Calculos!$C$27</f>
        <v>129780000</v>
      </c>
      <c r="D7" s="33" t="n">
        <f aca="false">Calculos!$D$27</f>
        <v>187142760</v>
      </c>
      <c r="E7" s="33" t="n">
        <f aca="false">Calculos!$E$27</f>
        <v>247830483.6</v>
      </c>
      <c r="F7" s="33" t="n">
        <f aca="false">Calculos!$F$27</f>
        <v>311991042.132</v>
      </c>
      <c r="G7" s="33" t="n">
        <f aca="false">Calculos!$G$27</f>
        <v>350564480.06832</v>
      </c>
    </row>
    <row r="8" customFormat="false" ht="12.8" hidden="false" customHeight="false" outlineLevel="0" collapsed="false">
      <c r="A8" s="31" t="s">
        <v>250</v>
      </c>
      <c r="B8" s="37" t="n">
        <f aca="false">Calculos!$B$28</f>
        <v>0</v>
      </c>
      <c r="C8" s="37" t="n">
        <f aca="false">Calculos!$C$28</f>
        <v>81976543.104</v>
      </c>
      <c r="D8" s="37" t="n">
        <f aca="false">Calculos!$D$28</f>
        <v>118210175.155968</v>
      </c>
      <c r="E8" s="37" t="n">
        <f aca="false">Calculos!$E$28</f>
        <v>156544046.242261</v>
      </c>
      <c r="F8" s="37" t="n">
        <f aca="false">Calculos!$F$28</f>
        <v>197071560.43609</v>
      </c>
      <c r="G8" s="37" t="n">
        <f aca="false">Calculos!$G$28</f>
        <v>221436771.544552</v>
      </c>
    </row>
    <row r="9" customFormat="false" ht="12.8" hidden="false" customHeight="false" outlineLevel="0" collapsed="false">
      <c r="A9" s="29" t="s">
        <v>251</v>
      </c>
      <c r="B9" s="33" t="n">
        <f aca="false">Calculos!$B$29</f>
        <v>0</v>
      </c>
      <c r="C9" s="33" t="n">
        <f aca="false">Calculos!$C$29</f>
        <v>50969179.2</v>
      </c>
      <c r="D9" s="33" t="n">
        <f aca="false">Calculos!$D$29</f>
        <v>52498254.576</v>
      </c>
      <c r="E9" s="33" t="n">
        <f aca="false">Calculos!$E$29</f>
        <v>54073202.21328</v>
      </c>
      <c r="F9" s="33" t="n">
        <f aca="false">Calculos!$F$29</f>
        <v>55695398.2796784</v>
      </c>
      <c r="G9" s="33" t="n">
        <f aca="false">Calculos!$G$29</f>
        <v>57366260.2280688</v>
      </c>
    </row>
    <row r="10" customFormat="false" ht="12.8" hidden="false" customHeight="false" outlineLevel="0" collapsed="false">
      <c r="A10" s="34" t="s">
        <v>252</v>
      </c>
      <c r="B10" s="35" t="n">
        <f aca="false">Calculos!$B$30</f>
        <v>0</v>
      </c>
      <c r="C10" s="35" t="n">
        <f aca="false">Calculos!$C$30</f>
        <v>-3165722.30400001</v>
      </c>
      <c r="D10" s="35" t="n">
        <f aca="false">Calculos!$D$30</f>
        <v>16434330.268032</v>
      </c>
      <c r="E10" s="35" t="n">
        <f aca="false">Calculos!$E$30</f>
        <v>37213235.1444595</v>
      </c>
      <c r="F10" s="35" t="n">
        <f aca="false">Calculos!$F$30</f>
        <v>59224083.4162315</v>
      </c>
      <c r="G10" s="35" t="n">
        <f aca="false">Calculos!$G$30</f>
        <v>71761448.295699</v>
      </c>
    </row>
    <row r="11" customFormat="false" ht="12.8" hidden="false" customHeight="false" outlineLevel="0" collapsed="false">
      <c r="A11" s="29" t="s">
        <v>253</v>
      </c>
      <c r="B11" s="33" t="n">
        <f aca="false">Calculos!$B$31</f>
        <v>0</v>
      </c>
      <c r="C11" s="33" t="n">
        <f aca="false">Calculos!$C$31</f>
        <v>5092306.7775</v>
      </c>
      <c r="D11" s="33" t="n">
        <f aca="false">Calculos!$D$31</f>
        <v>5092306.7775</v>
      </c>
      <c r="E11" s="33" t="n">
        <f aca="false">Calculos!$E$31</f>
        <v>5092306.7775</v>
      </c>
      <c r="F11" s="33" t="n">
        <f aca="false">Calculos!$F$31</f>
        <v>5092306.7775</v>
      </c>
      <c r="G11" s="33" t="n">
        <f aca="false">Calculos!$G$31</f>
        <v>5092306.7775</v>
      </c>
    </row>
    <row r="12" customFormat="false" ht="12.8" hidden="false" customHeight="false" outlineLevel="0" collapsed="false">
      <c r="A12" s="34" t="s">
        <v>254</v>
      </c>
      <c r="B12" s="35" t="n">
        <f aca="false">Calculos!$B$32</f>
        <v>0</v>
      </c>
      <c r="C12" s="35" t="n">
        <f aca="false">Calculos!$C$32</f>
        <v>-8258029.08150001</v>
      </c>
      <c r="D12" s="35" t="n">
        <f aca="false">Calculos!$D$32</f>
        <v>11342023.490532</v>
      </c>
      <c r="E12" s="35" t="n">
        <f aca="false">Calculos!$E$32</f>
        <v>32120928.3669595</v>
      </c>
      <c r="F12" s="35" t="n">
        <f aca="false">Calculos!$F$32</f>
        <v>54131776.6387315</v>
      </c>
      <c r="G12" s="35" t="n">
        <f aca="false">Calculos!$G$32</f>
        <v>66669141.518199</v>
      </c>
    </row>
    <row r="13" customFormat="false" ht="12.8" hidden="false" customHeight="false" outlineLevel="0" collapsed="false">
      <c r="A13" s="29" t="s">
        <v>255</v>
      </c>
      <c r="B13" s="33" t="n">
        <f aca="false">Calculos!$B$33</f>
        <v>0</v>
      </c>
      <c r="C13" s="33" t="n">
        <f aca="false">Calculos!$C$33</f>
        <v>0</v>
      </c>
      <c r="D13" s="33" t="n">
        <f aca="false">Calculos!$D$33</f>
        <v>8258029.08150001</v>
      </c>
      <c r="E13" s="33" t="n">
        <f aca="false">Calculos!$E$33</f>
        <v>0</v>
      </c>
      <c r="F13" s="33" t="n">
        <f aca="false">Calculos!$F$33</f>
        <v>0</v>
      </c>
      <c r="G13" s="33" t="n">
        <f aca="false">Calculos!$G$33</f>
        <v>0</v>
      </c>
    </row>
    <row r="14" customFormat="false" ht="12.8" hidden="false" customHeight="false" outlineLevel="0" collapsed="false">
      <c r="A14" s="31" t="s">
        <v>256</v>
      </c>
      <c r="B14" s="37" t="n">
        <f aca="false">Calculos!$B$34</f>
        <v>0</v>
      </c>
      <c r="C14" s="37" t="n">
        <f aca="false">Calculos!$C$34</f>
        <v>0</v>
      </c>
      <c r="D14" s="37" t="n">
        <f aca="false">Calculos!$D$34</f>
        <v>3083994.409032</v>
      </c>
      <c r="E14" s="37" t="n">
        <f aca="false">Calculos!$E$34</f>
        <v>32120928.3669595</v>
      </c>
      <c r="F14" s="37" t="n">
        <f aca="false">Calculos!$F$34</f>
        <v>54131776.6387315</v>
      </c>
      <c r="G14" s="37" t="n">
        <f aca="false">Calculos!$G$34</f>
        <v>66669141.518199</v>
      </c>
    </row>
    <row r="15" customFormat="false" ht="12.8" hidden="false" customHeight="false" outlineLevel="0" collapsed="false">
      <c r="A15" s="29" t="s">
        <v>257</v>
      </c>
      <c r="B15" s="33" t="n">
        <f aca="false">Calculos!$B$35</f>
        <v>0</v>
      </c>
      <c r="C15" s="33" t="n">
        <f aca="false">Calculos!$C$35</f>
        <v>0</v>
      </c>
      <c r="D15" s="33" t="n">
        <f aca="false">Calculos!$D$35</f>
        <v>462599.1613548</v>
      </c>
      <c r="E15" s="33" t="n">
        <f aca="false">Calculos!$E$35</f>
        <v>8030232.09173989</v>
      </c>
      <c r="F15" s="33" t="n">
        <f aca="false">Calculos!$F$35</f>
        <v>13532944.1596829</v>
      </c>
      <c r="G15" s="33" t="n">
        <f aca="false">Calculos!$G$35</f>
        <v>16667285.3795498</v>
      </c>
    </row>
    <row r="16" customFormat="false" ht="12.8" hidden="false" customHeight="false" outlineLevel="0" collapsed="false">
      <c r="A16" s="31" t="s">
        <v>258</v>
      </c>
      <c r="B16" s="37" t="n">
        <f aca="false">Calculos!$B$36</f>
        <v>0</v>
      </c>
      <c r="C16" s="37" t="n">
        <f aca="false">Calculos!$C$36</f>
        <v>8258029.08150001</v>
      </c>
      <c r="D16" s="37" t="n">
        <f aca="false">Calculos!$D$36</f>
        <v>0</v>
      </c>
      <c r="E16" s="37" t="n">
        <f aca="false">Calculos!$E$36</f>
        <v>0</v>
      </c>
      <c r="F16" s="37" t="n">
        <f aca="false">Calculos!$F$36</f>
        <v>0</v>
      </c>
      <c r="G16" s="37" t="n">
        <f aca="false">Calculos!$G$36</f>
        <v>0</v>
      </c>
    </row>
    <row r="17" customFormat="false" ht="12.8" hidden="false" customHeight="false" outlineLevel="0" collapsed="false">
      <c r="A17" s="29" t="s">
        <v>259</v>
      </c>
      <c r="B17" s="33" t="n">
        <f aca="false">Calculos!$B$37</f>
        <v>0</v>
      </c>
      <c r="C17" s="33" t="n">
        <f aca="false">Calculos!$C$37</f>
        <v>14035748.3467397</v>
      </c>
      <c r="D17" s="33" t="n">
        <f aca="false">Calculos!$D$37</f>
        <v>20239549.1159987</v>
      </c>
      <c r="E17" s="33" t="n">
        <f aca="false">Calculos!$E$37</f>
        <v>26802945.7579011</v>
      </c>
      <c r="F17" s="33" t="n">
        <f aca="false">Calculos!$F$37</f>
        <v>33741930.6041133</v>
      </c>
      <c r="G17" s="33" t="n">
        <f aca="false">Calculos!$G$37</f>
        <v>37913660.2060764</v>
      </c>
    </row>
    <row r="18" customFormat="false" ht="12.8" hidden="false" customHeight="false" outlineLevel="0" collapsed="false">
      <c r="A18" s="31" t="s">
        <v>260</v>
      </c>
      <c r="B18" s="37" t="n">
        <f aca="false">Calculos!$B$38</f>
        <v>0</v>
      </c>
      <c r="C18" s="37" t="n">
        <f aca="false">Calculos!$C$38</f>
        <v>0</v>
      </c>
      <c r="D18" s="37" t="n">
        <f aca="false">Calculos!$D$38</f>
        <v>6203800.76925896</v>
      </c>
      <c r="E18" s="37" t="n">
        <f aca="false">Calculos!$E$38</f>
        <v>6563396.64190243</v>
      </c>
      <c r="F18" s="37" t="n">
        <f aca="false">Calculos!$F$38</f>
        <v>6938984.84621218</v>
      </c>
      <c r="G18" s="37" t="n">
        <f aca="false">Calculos!$G$38</f>
        <v>4171729.6019631</v>
      </c>
    </row>
    <row r="19" customFormat="false" ht="12.8" hidden="false" customHeight="false" outlineLevel="0" collapsed="false">
      <c r="A19" s="29" t="s">
        <v>261</v>
      </c>
      <c r="B19" s="33" t="n">
        <f aca="false">Calculos!$B$39</f>
        <v>0</v>
      </c>
      <c r="C19" s="33" t="n">
        <f aca="false">Calculos!$C$39</f>
        <v>0</v>
      </c>
      <c r="D19" s="33" t="n">
        <f aca="false">Calculos!$D$39</f>
        <v>0</v>
      </c>
      <c r="E19" s="33" t="n">
        <f aca="false">Calculos!$E$39</f>
        <v>0</v>
      </c>
      <c r="F19" s="33" t="n">
        <f aca="false">Calculos!$F$39</f>
        <v>0</v>
      </c>
      <c r="G19" s="33" t="n">
        <f aca="false">Calculos!$G$39</f>
        <v>41342715.2476389</v>
      </c>
    </row>
    <row r="20" customFormat="false" ht="12.8" hidden="false" customHeight="false" outlineLevel="0" collapsed="false">
      <c r="A20" s="34" t="s">
        <v>262</v>
      </c>
      <c r="B20" s="35" t="n">
        <f aca="false">Calculos!$B$40</f>
        <v>-43516722.2342397</v>
      </c>
      <c r="C20" s="35" t="n">
        <f aca="false">Calculos!$C$40</f>
        <v>-3165722.30400001</v>
      </c>
      <c r="D20" s="35" t="n">
        <f aca="false">Calculos!$D$40</f>
        <v>9767930.33741825</v>
      </c>
      <c r="E20" s="35" t="n">
        <f aca="false">Calculos!$E$40</f>
        <v>22619606.4108172</v>
      </c>
      <c r="F20" s="35" t="n">
        <f aca="false">Calculos!$F$40</f>
        <v>38752154.4103364</v>
      </c>
      <c r="G20" s="35" t="n">
        <f aca="false">Calculos!$G$40</f>
        <v>92265148.5618251</v>
      </c>
    </row>
    <row r="21" customFormat="false" ht="12.8" hidden="false" customHeight="false" outlineLevel="0" collapsed="false">
      <c r="A21" s="29" t="s">
        <v>263</v>
      </c>
      <c r="B21" s="38" t="n">
        <f aca="false">Calculos!$B$41</f>
        <v>1</v>
      </c>
      <c r="C21" s="38" t="n">
        <f aca="false">Calculos!$C$41</f>
        <v>0.869565217391304</v>
      </c>
      <c r="D21" s="38" t="n">
        <f aca="false">Calculos!$D$41</f>
        <v>0.756143667296787</v>
      </c>
      <c r="E21" s="38" t="n">
        <f aca="false">Calculos!$E$41</f>
        <v>0.657516232431988</v>
      </c>
      <c r="F21" s="38" t="n">
        <f aca="false">Calculos!$F$41</f>
        <v>0.571753245593033</v>
      </c>
      <c r="G21" s="38" t="n">
        <f aca="false">Calculos!$G$41</f>
        <v>0.49717673529829</v>
      </c>
    </row>
    <row r="22" customFormat="false" ht="12.8" hidden="false" customHeight="false" outlineLevel="0" collapsed="false">
      <c r="A22" s="34" t="s">
        <v>264</v>
      </c>
      <c r="B22" s="35" t="n">
        <f aca="false">Calculos!$B$42</f>
        <v>-43516722.2342397</v>
      </c>
      <c r="C22" s="35" t="n">
        <f aca="false">Calculos!$C$42</f>
        <v>-2752802.00347827</v>
      </c>
      <c r="D22" s="35" t="n">
        <f aca="false">Calculos!$D$42</f>
        <v>7385958.66723497</v>
      </c>
      <c r="E22" s="35" t="n">
        <f aca="false">Calculos!$E$42</f>
        <v>14872758.386335</v>
      </c>
      <c r="F22" s="35" t="n">
        <f aca="false">Calculos!$F$42</f>
        <v>22156670.0578322</v>
      </c>
      <c r="G22" s="35" t="n">
        <f aca="false">Calculos!$G$42</f>
        <v>45872085.3437799</v>
      </c>
    </row>
    <row r="23" customFormat="false" ht="12.8" hidden="false" customHeight="false" outlineLevel="0" collapsed="false">
      <c r="A23" s="29" t="s">
        <v>265</v>
      </c>
      <c r="B23" s="33" t="n">
        <f aca="false">Calculos!$B$43</f>
        <v>-43516722.2342397</v>
      </c>
      <c r="C23" s="33" t="n">
        <f aca="false">Calculos!$C$43</f>
        <v>-46682444.5382397</v>
      </c>
      <c r="D23" s="33" t="n">
        <f aca="false">Calculos!$D$43</f>
        <v>-36914514.2008215</v>
      </c>
      <c r="E23" s="33" t="n">
        <f aca="false">Calculos!$E$43</f>
        <v>-14294907.7900043</v>
      </c>
      <c r="F23" s="33" t="n">
        <f aca="false">Calculos!$F$43</f>
        <v>24457246.6203321</v>
      </c>
      <c r="G23" s="33" t="n">
        <f aca="false">Calculos!$G$43</f>
        <v>116722395.182157</v>
      </c>
    </row>
    <row r="24" customFormat="false" ht="12.8" hidden="false" customHeight="false" outlineLevel="0" collapsed="false">
      <c r="A24" s="31" t="s">
        <v>266</v>
      </c>
      <c r="B24" s="37" t="n">
        <f aca="false">Calculos!$B$44</f>
        <v>-43516722.2342397</v>
      </c>
      <c r="C24" s="37" t="n">
        <f aca="false">Calculos!$C$44</f>
        <v>-46269524.237718</v>
      </c>
      <c r="D24" s="37" t="n">
        <f aca="false">Calculos!$D$44</f>
        <v>-38883565.570483</v>
      </c>
      <c r="E24" s="37" t="n">
        <f aca="false">Calculos!$E$44</f>
        <v>-24010807.184148</v>
      </c>
      <c r="F24" s="37" t="n">
        <f aca="false">Calculos!$F$44</f>
        <v>-1854137.1263158</v>
      </c>
      <c r="G24" s="37" t="n">
        <f aca="false">Calculos!$G$44</f>
        <v>44017948.2174641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A1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1.45"/>
    <col collapsed="false" customWidth="true" hidden="false" outlineLevel="0" max="3" min="3" style="0" width="15.32"/>
    <col collapsed="false" customWidth="true" hidden="false" outlineLevel="0" max="6" min="4" style="0" width="21.45"/>
    <col collapsed="false" customWidth="true" hidden="false" outlineLevel="0" max="7" min="7" style="0" width="25.54"/>
  </cols>
  <sheetData>
    <row r="1" customFormat="false" ht="25.5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</row>
    <row r="2" customFormat="false" ht="18.45" hidden="false" customHeight="true" outlineLevel="0" collapsed="false">
      <c r="A2" s="2" t="s">
        <v>268</v>
      </c>
      <c r="B2" s="2"/>
      <c r="C2" s="2"/>
      <c r="D2" s="2"/>
      <c r="E2" s="2"/>
      <c r="F2" s="2"/>
      <c r="G2" s="2"/>
    </row>
    <row r="4" customFormat="false" ht="18.45" hidden="false" customHeight="true" outlineLevel="0" collapsed="false">
      <c r="A4" s="13" t="s">
        <v>4</v>
      </c>
      <c r="B4" s="13" t="s">
        <v>7</v>
      </c>
      <c r="C4" s="13" t="s">
        <v>9</v>
      </c>
      <c r="D4" s="13" t="s">
        <v>3</v>
      </c>
      <c r="E4" s="13" t="s">
        <v>5</v>
      </c>
      <c r="F4" s="13" t="s">
        <v>10</v>
      </c>
      <c r="G4" s="13" t="s">
        <v>269</v>
      </c>
    </row>
    <row r="5" customFormat="false" ht="12.8" hidden="false" customHeight="false" outlineLevel="0" collapsed="false">
      <c r="A5" s="39" t="s">
        <v>270</v>
      </c>
      <c r="B5" s="40" t="n">
        <f aca="false">Calculos!$B$98</f>
        <v>-111133096.061248</v>
      </c>
      <c r="C5" s="41" t="n">
        <f aca="false">Calculos!$B$99</f>
        <v>-1</v>
      </c>
      <c r="D5" s="40" t="n">
        <f aca="false">Calculos!$B$97</f>
        <v>44319966.625345</v>
      </c>
      <c r="E5" s="40" t="n">
        <f aca="false">Calculos!$B$102</f>
        <v>149915004.920249</v>
      </c>
      <c r="F5" s="42" t="n">
        <f aca="false">Calculos!$B$100</f>
        <v>99</v>
      </c>
      <c r="G5" s="43" t="n">
        <f aca="false">Calculos!$B$103</f>
        <v>5263.86818249133</v>
      </c>
    </row>
    <row r="6" customFormat="false" ht="12.8" hidden="false" customHeight="false" outlineLevel="0" collapsed="false">
      <c r="A6" s="44" t="s">
        <v>32</v>
      </c>
      <c r="B6" s="45" t="n">
        <f aca="false">Calculos!$B$149</f>
        <v>44017948.2174641</v>
      </c>
      <c r="C6" s="46" t="n">
        <f aca="false">Calculos!$B$150</f>
        <v>0.356896565571158</v>
      </c>
      <c r="D6" s="45" t="n">
        <f aca="false">Calculos!$B$148</f>
        <v>43516722.2342397</v>
      </c>
      <c r="E6" s="45" t="n">
        <f aca="false">Calculos!$B$153</f>
        <v>46682444.5382397</v>
      </c>
      <c r="F6" s="47" t="n">
        <f aca="false">Calculos!$B$151</f>
        <v>4.04041972612364</v>
      </c>
      <c r="G6" s="48" t="n">
        <f aca="false">Calculos!$B$154</f>
        <v>2665.5592769623</v>
      </c>
    </row>
    <row r="7" customFormat="false" ht="12.8" hidden="false" customHeight="false" outlineLevel="0" collapsed="false">
      <c r="A7" s="49" t="s">
        <v>271</v>
      </c>
      <c r="B7" s="50" t="n">
        <f aca="false">Calculos!$B$200</f>
        <v>182601857.957929</v>
      </c>
      <c r="C7" s="51" t="n">
        <f aca="false">Calculos!$B$201</f>
        <v>0.925103050541416</v>
      </c>
      <c r="D7" s="50" t="n">
        <f aca="false">Calculos!$B$199</f>
        <v>46003683.1851206</v>
      </c>
      <c r="E7" s="50" t="n">
        <f aca="false">Calculos!$B$204</f>
        <v>46003683.1851206</v>
      </c>
      <c r="F7" s="52" t="n">
        <f aca="false">Calculos!$B$202</f>
        <v>1.75875944004046</v>
      </c>
      <c r="G7" s="53" t="n">
        <f aca="false">Calculos!$B$205</f>
        <v>1963.97025480722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A1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5"/>
    <col collapsed="false" customWidth="true" hidden="false" outlineLevel="0" max="4" min="2" style="0" width="24.52"/>
    <col collapsed="false" customWidth="true" hidden="false" outlineLevel="0" max="5" min="5" style="0" width="7.66"/>
  </cols>
  <sheetData>
    <row r="1" customFormat="false" ht="25.5" hidden="false" customHeight="true" outlineLevel="0" collapsed="false">
      <c r="A1" s="1" t="s">
        <v>272</v>
      </c>
      <c r="B1" s="1"/>
      <c r="C1" s="1"/>
      <c r="D1" s="1"/>
      <c r="E1" s="1"/>
    </row>
    <row r="2" customFormat="false" ht="18.45" hidden="false" customHeight="true" outlineLevel="0" collapsed="false">
      <c r="A2" s="2" t="s">
        <v>273</v>
      </c>
      <c r="B2" s="2"/>
      <c r="C2" s="2"/>
      <c r="D2" s="2"/>
      <c r="E2" s="2"/>
    </row>
    <row r="4" customFormat="false" ht="18.45" hidden="false" customHeight="true" outlineLevel="0" collapsed="false">
      <c r="A4" s="54" t="s">
        <v>274</v>
      </c>
      <c r="B4" s="55" t="n">
        <f aca="false">Inputs!$C$84</f>
        <v>0.9</v>
      </c>
      <c r="C4" s="56" t="n">
        <f aca="false">1</f>
        <v>1</v>
      </c>
      <c r="D4" s="55" t="n">
        <f aca="false">Inputs!$C$85</f>
        <v>1.1</v>
      </c>
    </row>
    <row r="5" customFormat="false" ht="12.8" hidden="false" customHeight="false" outlineLevel="0" collapsed="false">
      <c r="A5" s="57" t="n">
        <f aca="false">Inputs!$C$86</f>
        <v>0.8</v>
      </c>
      <c r="B5" s="58" t="n">
        <f aca="false">Calculos!$B$251</f>
        <v>-49981715.6510089</v>
      </c>
      <c r="C5" s="59" t="n">
        <f aca="false">Calculos!$B$302</f>
        <v>2380852.23824912</v>
      </c>
      <c r="D5" s="59" t="n">
        <f aca="false">Calculos!$B$353</f>
        <v>49273963.1518555</v>
      </c>
    </row>
    <row r="6" customFormat="false" ht="12.8" hidden="false" customHeight="false" outlineLevel="0" collapsed="false">
      <c r="A6" s="60" t="n">
        <f aca="false">1</f>
        <v>1</v>
      </c>
      <c r="B6" s="58" t="n">
        <f aca="false">Calculos!$B$404</f>
        <v>-14715876.0563932</v>
      </c>
      <c r="C6" s="59" t="n">
        <f aca="false">Calculos!$B$455</f>
        <v>44017948.2174641</v>
      </c>
      <c r="D6" s="59" t="n">
        <f aca="false">Calculos!$B$506</f>
        <v>103775832.037717</v>
      </c>
    </row>
    <row r="7" customFormat="false" ht="12.8" hidden="false" customHeight="false" outlineLevel="0" collapsed="false">
      <c r="A7" s="57" t="n">
        <f aca="false">Inputs!$C$87</f>
        <v>1.2</v>
      </c>
      <c r="B7" s="59" t="n">
        <f aca="false">Calculos!$B$557</f>
        <v>15458785.258856</v>
      </c>
      <c r="C7" s="59" t="n">
        <f aca="false">Calculos!$B$608</f>
        <v>86556551.7077197</v>
      </c>
      <c r="D7" s="59" t="n">
        <f aca="false">Calculos!$B$659</f>
        <v>158312844.214981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F6B76"/>
    <pageSetUpPr fitToPage="false"/>
  </sheetPr>
  <dimension ref="A1: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58"/>
    <col collapsed="false" customWidth="true" hidden="false" outlineLevel="0" max="2" min="2" style="0" width="15.32"/>
    <col collapsed="false" customWidth="true" hidden="false" outlineLevel="0" max="3" min="3" style="0" width="18.39"/>
    <col collapsed="false" customWidth="true" hidden="false" outlineLevel="0" max="4" min="4" style="0" width="14.3"/>
    <col collapsed="false" customWidth="true" hidden="false" outlineLevel="0" max="5" min="5" style="0" width="51.07"/>
    <col collapsed="false" customWidth="true" hidden="false" outlineLevel="0" max="6" min="6" style="0" width="56.18"/>
  </cols>
  <sheetData>
    <row r="1" customFormat="false" ht="25.5" hidden="false" customHeight="true" outlineLevel="0" collapsed="false">
      <c r="A1" s="1" t="s">
        <v>275</v>
      </c>
      <c r="B1" s="1"/>
      <c r="C1" s="1"/>
      <c r="D1" s="1"/>
      <c r="E1" s="1"/>
      <c r="F1" s="1"/>
      <c r="G1" s="1"/>
    </row>
    <row r="2" customFormat="false" ht="18.45" hidden="false" customHeight="true" outlineLevel="0" collapsed="false">
      <c r="A2" s="2" t="s">
        <v>276</v>
      </c>
      <c r="B2" s="2"/>
      <c r="C2" s="2"/>
      <c r="D2" s="2"/>
      <c r="E2" s="2"/>
      <c r="F2" s="2"/>
      <c r="G2" s="2"/>
    </row>
    <row r="4" customFormat="false" ht="12.8" hidden="false" customHeight="false" outlineLevel="0" collapsed="false">
      <c r="A4" s="13" t="s">
        <v>24</v>
      </c>
      <c r="B4" s="13" t="s">
        <v>277</v>
      </c>
      <c r="C4" s="13" t="s">
        <v>26</v>
      </c>
      <c r="D4" s="13" t="s">
        <v>27</v>
      </c>
      <c r="E4" s="13" t="s">
        <v>28</v>
      </c>
      <c r="F4" s="13" t="s">
        <v>29</v>
      </c>
    </row>
    <row r="5" customFormat="false" ht="35.05" hidden="false" customHeight="false" outlineLevel="0" collapsed="false">
      <c r="A5" s="18" t="str">
        <f aca="false">Inputs!$B$7</f>
        <v>TMAR nominal anual</v>
      </c>
      <c r="B5" s="61" t="n">
        <f aca="false">Inputs!$C$7</f>
        <v>0.15</v>
      </c>
      <c r="C5" s="18" t="str">
        <f aca="false">Inputs!$D$7</f>
        <v>% anual</v>
      </c>
      <c r="D5" s="18" t="str">
        <f aca="false">Inputs!$E$7</f>
        <v>SUPUESTO</v>
      </c>
      <c r="E5" s="18" t="str">
        <f aca="false">Inputs!$F$7</f>
        <v>https://www.bcentral.cl/es/areas/politica-monetaria</v>
      </c>
      <c r="F5" s="18" t="str">
        <f aca="false">Inputs!$G$7</f>
        <v>TMAR nominal para capital propio: TPM observada 4,5% más 10,5 puntos por riesgo comercial, escala, iliquidez y concentración. Debe sustituirse por costo de oportunidad del titular.</v>
      </c>
    </row>
    <row r="6" customFormat="false" ht="35.05" hidden="false" customHeight="false" outlineLevel="0" collapsed="false">
      <c r="A6" s="15" t="str">
        <f aca="false">Inputs!$B$8</f>
        <v>Inflación anual</v>
      </c>
      <c r="B6" s="62" t="n">
        <f aca="false">Inputs!$C$8</f>
        <v>0.03</v>
      </c>
      <c r="C6" s="15" t="str">
        <f aca="false">Inputs!$D$8</f>
        <v>% anual desde año 2</v>
      </c>
      <c r="D6" s="15" t="str">
        <f aca="false">Inputs!$E$8</f>
        <v>ESTIMADO</v>
      </c>
      <c r="E6" s="15" t="str">
        <f aca="false">Inputs!$F$8</f>
        <v>https://www.bcentral.cl/documents/33528/8413153/IPoM%2Bjunio%2B2026.pdf/93388589-0929-4ad6-b166-10981ca34946</v>
      </c>
      <c r="F6" s="15" t="str">
        <f aca="false">Inputs!$G$8</f>
        <v>IPoM junio 2026 ubica expectativas a uno y dos años en torno a 3%. Se escala precio y costos simétricamente.</v>
      </c>
    </row>
    <row r="7" customFormat="false" ht="12.8" hidden="false" customHeight="false" outlineLevel="0" collapsed="false">
      <c r="A7" s="18" t="str">
        <f aca="false">Inputs!$B$9</f>
        <v>Capital máximo disponible</v>
      </c>
      <c r="B7" s="63" t="n">
        <f aca="false">Inputs!$C$9</f>
        <v>50000000</v>
      </c>
      <c r="C7" s="18" t="str">
        <f aca="false">Inputs!$D$9</f>
        <v>CLP</v>
      </c>
      <c r="D7" s="18" t="str">
        <f aca="false">Inputs!$E$9</f>
        <v>VERIFICADO</v>
      </c>
      <c r="E7" s="18" t="str">
        <f aca="false">Inputs!$F$9</f>
        <v>datos/supuestos.json#meta.restriccion_capital_clp</v>
      </c>
      <c r="F7" s="18" t="str">
        <f aca="false">Inputs!$G$9</f>
        <v>Restricción declarada en el enunciado.</v>
      </c>
    </row>
    <row r="8" customFormat="false" ht="12.8" hidden="false" customHeight="false" outlineLevel="0" collapsed="false">
      <c r="A8" s="15" t="str">
        <f aca="false">Inputs!$B$10</f>
        <v>Horizonte de evaluación</v>
      </c>
      <c r="B8" s="64" t="n">
        <f aca="false">Inputs!$C$10</f>
        <v>5</v>
      </c>
      <c r="C8" s="15" t="str">
        <f aca="false">Inputs!$D$10</f>
        <v>años</v>
      </c>
      <c r="D8" s="15" t="str">
        <f aca="false">Inputs!$E$10</f>
        <v>SUPUESTO</v>
      </c>
      <c r="E8" s="15" t="str">
        <f aca="false">Inputs!$F$10</f>
        <v>datos/supuestos.json#meta.horizonte_evaluacion_anios</v>
      </c>
      <c r="F8" s="15" t="str">
        <f aca="false">Inputs!$G$10</f>
        <v>Horizonte fijado en el statement.</v>
      </c>
    </row>
    <row r="9" customFormat="false" ht="35.05" hidden="false" customHeight="false" outlineLevel="0" collapsed="false">
      <c r="A9" s="18" t="str">
        <f aca="false">Inputs!$B$12</f>
        <v>Precio B2B neto base</v>
      </c>
      <c r="B9" s="63" t="n">
        <f aca="false">Inputs!$C$12</f>
        <v>4200</v>
      </c>
      <c r="C9" s="18" t="str">
        <f aca="false">Inputs!$D$12</f>
        <v>CLP neto/unidad en pesos base 2026</v>
      </c>
      <c r="D9" s="18" t="str">
        <f aca="false">Inputs!$E$12</f>
        <v>SUPUESTO</v>
      </c>
      <c r="E9" s="18" t="str">
        <f aca="false">Inputs!$F$12</f>
        <v>02-competencia/index.html</v>
      </c>
      <c r="F9" s="18" t="str">
        <f aca="false">Inputs!$G$12</f>
        <v>Se usa solo porque el parámetro de etapa 02 está pendiente. Está entre PF retail neto ($3.017) y foodservice publicado ($5.034); no representa disposición a pagar validada.</v>
      </c>
    </row>
    <row r="10" customFormat="false" ht="23.85" hidden="false" customHeight="false" outlineLevel="0" collapsed="false">
      <c r="A10" s="15" t="str">
        <f aca="false">Inputs!$B$13</f>
        <v>Volumen año 1</v>
      </c>
      <c r="B10" s="64" t="n">
        <f aca="false">Inputs!$C$13</f>
        <v>30000</v>
      </c>
      <c r="C10" s="15" t="str">
        <f aca="false">Inputs!$D$13</f>
        <v>pizzas/año</v>
      </c>
      <c r="D10" s="15" t="str">
        <f aca="false">Inputs!$E$13</f>
        <v>SUPUESTO</v>
      </c>
      <c r="E10" s="15" t="str">
        <f aca="false">Inputs!$F$13</f>
        <v>01-mercado/index.html</v>
      </c>
      <c r="F10" s="15" t="str">
        <f aca="false">Inputs!$G$13</f>
        <v>2.500 unidades/mes. Sustituir por mercado.som_ano1_pizzas_mes × 12 cuando etapa 03 lo valide.</v>
      </c>
    </row>
    <row r="11" customFormat="false" ht="12.8" hidden="false" customHeight="false" outlineLevel="0" collapsed="false">
      <c r="A11" s="18" t="str">
        <f aca="false">Inputs!$B$14</f>
        <v>Volumen año 2</v>
      </c>
      <c r="B11" s="65" t="n">
        <f aca="false">Inputs!$C$14</f>
        <v>42000</v>
      </c>
      <c r="C11" s="18" t="str">
        <f aca="false">Inputs!$D$14</f>
        <v>pizzas/año</v>
      </c>
      <c r="D11" s="18" t="str">
        <f aca="false">Inputs!$E$14</f>
        <v>SUPUESTO</v>
      </c>
      <c r="E11" s="18" t="str">
        <f aca="false">Inputs!$F$14</f>
        <v>Etapa 10</v>
      </c>
      <c r="F11" s="18" t="str">
        <f aca="false">Inputs!$G$14</f>
        <v>Rampa comercial no validada.</v>
      </c>
    </row>
    <row r="12" customFormat="false" ht="12.8" hidden="false" customHeight="false" outlineLevel="0" collapsed="false">
      <c r="A12" s="15" t="str">
        <f aca="false">Inputs!$B$15</f>
        <v>Volumen año 3</v>
      </c>
      <c r="B12" s="64" t="n">
        <f aca="false">Inputs!$C$15</f>
        <v>54000</v>
      </c>
      <c r="C12" s="15" t="str">
        <f aca="false">Inputs!$D$15</f>
        <v>pizzas/año</v>
      </c>
      <c r="D12" s="15" t="str">
        <f aca="false">Inputs!$E$15</f>
        <v>SUPUESTO</v>
      </c>
      <c r="E12" s="15" t="str">
        <f aca="false">Inputs!$F$15</f>
        <v>Etapa 10</v>
      </c>
      <c r="F12" s="15" t="str">
        <f aca="false">Inputs!$G$15</f>
        <v>Rampa comercial no validada.</v>
      </c>
    </row>
    <row r="13" customFormat="false" ht="12.8" hidden="false" customHeight="false" outlineLevel="0" collapsed="false">
      <c r="A13" s="18" t="str">
        <f aca="false">Inputs!$B$16</f>
        <v>Volumen año 4</v>
      </c>
      <c r="B13" s="65" t="n">
        <f aca="false">Inputs!$C$16</f>
        <v>66000</v>
      </c>
      <c r="C13" s="18" t="str">
        <f aca="false">Inputs!$D$16</f>
        <v>pizzas/año</v>
      </c>
      <c r="D13" s="18" t="str">
        <f aca="false">Inputs!$E$16</f>
        <v>SUPUESTO</v>
      </c>
      <c r="E13" s="18" t="str">
        <f aca="false">Inputs!$F$16</f>
        <v>Etapa 10</v>
      </c>
      <c r="F13" s="18" t="str">
        <f aca="false">Inputs!$G$16</f>
        <v>Rampa comercial no validada.</v>
      </c>
    </row>
    <row r="14" customFormat="false" ht="12.8" hidden="false" customHeight="false" outlineLevel="0" collapsed="false">
      <c r="A14" s="15" t="str">
        <f aca="false">Inputs!$B$17</f>
        <v>Volumen año 5</v>
      </c>
      <c r="B14" s="64" t="n">
        <f aca="false">Inputs!$C$17</f>
        <v>72000</v>
      </c>
      <c r="C14" s="15" t="str">
        <f aca="false">Inputs!$D$17</f>
        <v>pizzas/año</v>
      </c>
      <c r="D14" s="15" t="str">
        <f aca="false">Inputs!$E$17</f>
        <v>SUPUESTO</v>
      </c>
      <c r="E14" s="15" t="str">
        <f aca="false">Inputs!$F$17</f>
        <v>Etapa 10</v>
      </c>
      <c r="F14" s="15" t="str">
        <f aca="false">Inputs!$G$17</f>
        <v>Rampa comercial no validada.</v>
      </c>
    </row>
    <row r="15" customFormat="false" ht="23.85" hidden="false" customHeight="false" outlineLevel="0" collapsed="false">
      <c r="A15" s="18" t="str">
        <f aca="false">Inputs!$B$19</f>
        <v>Impuesto año 1</v>
      </c>
      <c r="B15" s="61" t="n">
        <f aca="false">Inputs!$C$19</f>
        <v>0.125</v>
      </c>
      <c r="C15" s="18" t="str">
        <f aca="false">Inputs!$D$19</f>
        <v>% IDPC Pro Pyme año comercial 2027</v>
      </c>
      <c r="D15" s="18" t="str">
        <f aca="false">Inputs!$E$19</f>
        <v>VERIFICADO</v>
      </c>
      <c r="E15" s="18" t="str">
        <f aca="false">Inputs!$F$19</f>
        <v>https://www.sii.cl/normativa_legislacion/circulares/2025/circu53.pdf</v>
      </c>
      <c r="F15" s="18" t="str">
        <f aca="false">Inputs!$G$19</f>
        <v>Aplica si la empresa califica al régimen Pro Pyme General del art. 14 D N°3.</v>
      </c>
    </row>
    <row r="16" customFormat="false" ht="23.85" hidden="false" customHeight="false" outlineLevel="0" collapsed="false">
      <c r="A16" s="15" t="str">
        <f aca="false">Inputs!$B$20</f>
        <v>Impuesto año 2</v>
      </c>
      <c r="B16" s="62" t="n">
        <f aca="false">Inputs!$C$20</f>
        <v>0.15</v>
      </c>
      <c r="C16" s="15" t="str">
        <f aca="false">Inputs!$D$20</f>
        <v>% IDPC Pro Pyme año comercial 2028</v>
      </c>
      <c r="D16" s="15" t="str">
        <f aca="false">Inputs!$E$20</f>
        <v>VERIFICADO</v>
      </c>
      <c r="E16" s="15" t="str">
        <f aca="false">Inputs!$F$20</f>
        <v>https://www.sii.cl/normativa_legislacion/circulares/2025/circu53.pdf</v>
      </c>
      <c r="F16" s="15" t="str">
        <f aca="false">Inputs!$G$20</f>
        <v>Tasa transitoria informada por Circular SII 53/2025.</v>
      </c>
    </row>
    <row r="17" customFormat="false" ht="23.85" hidden="false" customHeight="false" outlineLevel="0" collapsed="false">
      <c r="A17" s="18" t="str">
        <f aca="false">Inputs!$B$21</f>
        <v>Impuesto año 3</v>
      </c>
      <c r="B17" s="61" t="n">
        <f aca="false">Inputs!$C$21</f>
        <v>0.25</v>
      </c>
      <c r="C17" s="18" t="str">
        <f aca="false">Inputs!$D$21</f>
        <v>% IDPC permanente</v>
      </c>
      <c r="D17" s="18" t="str">
        <f aca="false">Inputs!$E$21</f>
        <v>ESTIMADO</v>
      </c>
      <c r="E17" s="18" t="str">
        <f aca="false">Inputs!$F$21</f>
        <v>https://www.sii.cl/destacados/modernizacion/tipos_regimenes_mt.html</v>
      </c>
      <c r="F17" s="18" t="str">
        <f aca="false">Inputs!$G$21</f>
        <v>Tasa permanente vigente; se supone desde 2029 salvo nueva ley.</v>
      </c>
    </row>
    <row r="18" customFormat="false" ht="23.85" hidden="false" customHeight="false" outlineLevel="0" collapsed="false">
      <c r="A18" s="15" t="str">
        <f aca="false">Inputs!$B$22</f>
        <v>Impuesto año 4</v>
      </c>
      <c r="B18" s="62" t="n">
        <f aca="false">Inputs!$C$22</f>
        <v>0.25</v>
      </c>
      <c r="C18" s="15" t="str">
        <f aca="false">Inputs!$D$22</f>
        <v>% IDPC permanente</v>
      </c>
      <c r="D18" s="15" t="str">
        <f aca="false">Inputs!$E$22</f>
        <v>ESTIMADO</v>
      </c>
      <c r="E18" s="15" t="str">
        <f aca="false">Inputs!$F$22</f>
        <v>https://www.sii.cl/destacados/modernizacion/tipos_regimenes_mt.html</v>
      </c>
      <c r="F18" s="15" t="str">
        <f aca="false">Inputs!$G$22</f>
        <v>Supone permanencia normativa.</v>
      </c>
    </row>
    <row r="19" customFormat="false" ht="23.85" hidden="false" customHeight="false" outlineLevel="0" collapsed="false">
      <c r="A19" s="18" t="str">
        <f aca="false">Inputs!$B$23</f>
        <v>Impuesto año 5</v>
      </c>
      <c r="B19" s="61" t="n">
        <f aca="false">Inputs!$C$23</f>
        <v>0.25</v>
      </c>
      <c r="C19" s="18" t="str">
        <f aca="false">Inputs!$D$23</f>
        <v>% IDPC permanente</v>
      </c>
      <c r="D19" s="18" t="str">
        <f aca="false">Inputs!$E$23</f>
        <v>ESTIMADO</v>
      </c>
      <c r="E19" s="18" t="str">
        <f aca="false">Inputs!$F$23</f>
        <v>https://www.sii.cl/destacados/modernizacion/tipos_regimenes_mt.html</v>
      </c>
      <c r="F19" s="18" t="str">
        <f aca="false">Inputs!$G$23</f>
        <v>Supone permanencia normativa.</v>
      </c>
    </row>
    <row r="20" customFormat="false" ht="12.8" hidden="false" customHeight="false" outlineLevel="0" collapsed="false">
      <c r="A20" s="15" t="str">
        <f aca="false">Inputs!$B$25</f>
        <v>Harina por pizza</v>
      </c>
      <c r="B20" s="66" t="n">
        <f aca="false">Inputs!$C$25</f>
        <v>0.2</v>
      </c>
      <c r="C20" s="15" t="str">
        <f aca="false">Inputs!$D$25</f>
        <v>kg/pizza</v>
      </c>
      <c r="D20" s="15" t="str">
        <f aca="false">Inputs!$E$25</f>
        <v>SUPUESTO</v>
      </c>
      <c r="E20" s="15" t="str">
        <f aca="false">Inputs!$F$25</f>
        <v>Etapa 10</v>
      </c>
      <c r="F20" s="15" t="str">
        <f aca="false">Inputs!$G$25</f>
        <v>Debe sustituirse por formulación de etapa 04.</v>
      </c>
    </row>
    <row r="21" customFormat="false" ht="12.8" hidden="false" customHeight="false" outlineLevel="0" collapsed="false">
      <c r="A21" s="18" t="str">
        <f aca="false">Inputs!$B$26</f>
        <v>Salsa por pizza</v>
      </c>
      <c r="B21" s="67" t="n">
        <f aca="false">Inputs!$C$26</f>
        <v>0.08</v>
      </c>
      <c r="C21" s="18" t="str">
        <f aca="false">Inputs!$D$26</f>
        <v>kg/pizza</v>
      </c>
      <c r="D21" s="18" t="str">
        <f aca="false">Inputs!$E$26</f>
        <v>SUPUESTO</v>
      </c>
      <c r="E21" s="18" t="str">
        <f aca="false">Inputs!$F$26</f>
        <v>Etapa 10</v>
      </c>
      <c r="F21" s="18" t="str">
        <f aca="false">Inputs!$G$26</f>
        <v>Debe sustituirse por formulación de etapa 04.</v>
      </c>
    </row>
    <row r="22" customFormat="false" ht="12.8" hidden="false" customHeight="false" outlineLevel="0" collapsed="false">
      <c r="A22" s="15" t="str">
        <f aca="false">Inputs!$B$27</f>
        <v>Mozzarella por pizza</v>
      </c>
      <c r="B22" s="66" t="n">
        <f aca="false">Inputs!$C$27</f>
        <v>0.12</v>
      </c>
      <c r="C22" s="15" t="str">
        <f aca="false">Inputs!$D$27</f>
        <v>kg/pizza</v>
      </c>
      <c r="D22" s="15" t="str">
        <f aca="false">Inputs!$E$27</f>
        <v>SUPUESTO</v>
      </c>
      <c r="E22" s="15" t="str">
        <f aca="false">Inputs!$F$27</f>
        <v>Etapa 10</v>
      </c>
      <c r="F22" s="15" t="str">
        <f aca="false">Inputs!$G$27</f>
        <v>Principal driver de costo; validar rendimiento y gramaje.</v>
      </c>
    </row>
    <row r="23" customFormat="false" ht="23.85" hidden="false" customHeight="false" outlineLevel="0" collapsed="false">
      <c r="A23" s="18" t="str">
        <f aca="false">Inputs!$B$28</f>
        <v>Otros ingredientes por pizza</v>
      </c>
      <c r="B23" s="63" t="n">
        <f aca="false">Inputs!$C$28</f>
        <v>550</v>
      </c>
      <c r="C23" s="18" t="str">
        <f aca="false">Inputs!$D$28</f>
        <v>CLP neto/pizza</v>
      </c>
      <c r="D23" s="18" t="str">
        <f aca="false">Inputs!$E$28</f>
        <v>SUPUESTO</v>
      </c>
      <c r="E23" s="18" t="str">
        <f aca="false">Inputs!$F$28</f>
        <v>Etapa 10</v>
      </c>
      <c r="F23" s="18" t="str">
        <f aca="false">Inputs!$G$28</f>
        <v>Aceite, levadura, sal, especias y topping; pendiente de receta y cotización.</v>
      </c>
    </row>
    <row r="24" customFormat="false" ht="12.8" hidden="false" customHeight="false" outlineLevel="0" collapsed="false">
      <c r="A24" s="15" t="str">
        <f aca="false">Inputs!$B$29</f>
        <v>Envase por pizza</v>
      </c>
      <c r="B24" s="68" t="n">
        <f aca="false">Inputs!$C$29</f>
        <v>300</v>
      </c>
      <c r="C24" s="15" t="str">
        <f aca="false">Inputs!$D$29</f>
        <v>CLP neto/pizza</v>
      </c>
      <c r="D24" s="15" t="str">
        <f aca="false">Inputs!$E$29</f>
        <v>SUPUESTO</v>
      </c>
      <c r="E24" s="15" t="str">
        <f aca="false">Inputs!$F$29</f>
        <v>06-insumos/index.html</v>
      </c>
      <c r="F24" s="15" t="str">
        <f aca="false">Inputs!$G$29</f>
        <v>Fallback hasta que etapa 06 cierre film, etiqueta y caja máster.</v>
      </c>
    </row>
    <row r="25" customFormat="false" ht="23.85" hidden="false" customHeight="false" outlineLevel="0" collapsed="false">
      <c r="A25" s="18" t="str">
        <f aca="false">Inputs!$B$30</f>
        <v>Energía variable por pizza</v>
      </c>
      <c r="B25" s="63" t="n">
        <f aca="false">Inputs!$C$30</f>
        <v>120</v>
      </c>
      <c r="C25" s="18" t="str">
        <f aca="false">Inputs!$D$30</f>
        <v>CLP/pizza</v>
      </c>
      <c r="D25" s="18" t="str">
        <f aca="false">Inputs!$E$30</f>
        <v>SUPUESTO</v>
      </c>
      <c r="E25" s="18" t="str">
        <f aca="false">Inputs!$F$30</f>
        <v>https://calvac.cl/venta/abatidor-10-bandejas-2/</v>
      </c>
      <c r="F25" s="18" t="str">
        <f aca="false">Inputs!$G$30</f>
        <v>Bolsa de costo para horno, abatimiento y congelación. Debe reemplazarse por balance kWh/ciclo y tarifa contratada.</v>
      </c>
    </row>
    <row r="26" customFormat="false" ht="12.8" hidden="false" customHeight="false" outlineLevel="0" collapsed="false">
      <c r="A26" s="15" t="str">
        <f aca="false">Inputs!$B$31</f>
        <v>Distribución variable por pizza</v>
      </c>
      <c r="B26" s="68" t="n">
        <f aca="false">Inputs!$C$31</f>
        <v>220</v>
      </c>
      <c r="C26" s="15" t="str">
        <f aca="false">Inputs!$D$31</f>
        <v>CLP/pizza</v>
      </c>
      <c r="D26" s="15" t="str">
        <f aca="false">Inputs!$E$31</f>
        <v>SUPUESTO</v>
      </c>
      <c r="E26" s="15" t="str">
        <f aca="false">Inputs!$F$31</f>
        <v>Etapa 10</v>
      </c>
      <c r="F26" s="15" t="str">
        <f aca="false">Inputs!$G$31</f>
        <v>Despacho consolidado local sin vehículo propio; cotizar por ruta.</v>
      </c>
    </row>
    <row r="27" customFormat="false" ht="12.8" hidden="false" customHeight="false" outlineLevel="0" collapsed="false">
      <c r="A27" s="18" t="str">
        <f aca="false">Inputs!$B$32</f>
        <v>Merma de ingredientes</v>
      </c>
      <c r="B27" s="61" t="n">
        <f aca="false">Inputs!$C$32</f>
        <v>0.05</v>
      </c>
      <c r="C27" s="18" t="str">
        <f aca="false">Inputs!$D$32</f>
        <v>% de ingredientes</v>
      </c>
      <c r="D27" s="18" t="str">
        <f aca="false">Inputs!$E$32</f>
        <v>SUPUESTO</v>
      </c>
      <c r="E27" s="18" t="str">
        <f aca="false">Inputs!$F$32</f>
        <v>Etapa 10</v>
      </c>
      <c r="F27" s="18" t="str">
        <f aca="false">Inputs!$G$32</f>
        <v>Sustituir por pruebas de proceso.</v>
      </c>
    </row>
    <row r="28" customFormat="false" ht="23.85" hidden="false" customHeight="false" outlineLevel="0" collapsed="false">
      <c r="A28" s="15" t="str">
        <f aca="false">Inputs!$B$34</f>
        <v>Precio harina/kg</v>
      </c>
      <c r="B28" s="68" t="n">
        <f aca="false">Inputs!$C$34</f>
        <v>840</v>
      </c>
      <c r="C28" s="15" t="str">
        <f aca="false">Inputs!$D$34</f>
        <v>CLP neto/kg</v>
      </c>
      <c r="D28" s="15" t="str">
        <f aca="false">Inputs!$E$34</f>
        <v>VERIFICADO</v>
      </c>
      <c r="E28" s="15" t="str">
        <f aca="false">Inputs!$F$34</f>
        <v>https://metafood.cl/REV10100_Harina_Pizza</v>
      </c>
      <c r="F28" s="15" t="str">
        <f aca="false">Inputs!$G$34</f>
        <v>Saco de harina para pizza 25 kg publicado a $21.000 + IVA. Falta confirmar flete y disponibilidad en Temuco.</v>
      </c>
    </row>
    <row r="29" customFormat="false" ht="23.85" hidden="false" customHeight="false" outlineLevel="0" collapsed="false">
      <c r="A29" s="18" t="str">
        <f aca="false">Inputs!$B$35</f>
        <v>Precio tomate/kg</v>
      </c>
      <c r="B29" s="63" t="n">
        <f aca="false">Inputs!$C$35</f>
        <v>2383.8</v>
      </c>
      <c r="C29" s="18" t="str">
        <f aca="false">Inputs!$D$35</f>
        <v>CLP neto/kg</v>
      </c>
      <c r="D29" s="18" t="str">
        <f aca="false">Inputs!$E$35</f>
        <v>VERIFICADO</v>
      </c>
      <c r="E29" s="18" t="str">
        <f aca="false">Inputs!$F$35</f>
        <v>https://metafood.cl/REV10130_Tomate_Pelado_Lata_Bolsa</v>
      </c>
      <c r="F29" s="18" t="str">
        <f aca="false">Inputs!$G$35</f>
        <v>Tomate pelado bolsa 5 kg a $11.919 + IVA. Es insumo para formular salsa, no salsa terminada; falta flete a Temuco.</v>
      </c>
    </row>
    <row r="30" customFormat="false" ht="35.05" hidden="false" customHeight="false" outlineLevel="0" collapsed="false">
      <c r="A30" s="15" t="str">
        <f aca="false">Inputs!$B$36</f>
        <v>Precio mozzarella/kg</v>
      </c>
      <c r="B30" s="68" t="n">
        <f aca="false">Inputs!$C$36</f>
        <v>8403.36</v>
      </c>
      <c r="C30" s="15" t="str">
        <f aca="false">Inputs!$D$36</f>
        <v>CLP neto/kg</v>
      </c>
      <c r="D30" s="15" t="str">
        <f aca="false">Inputs!$E$36</f>
        <v>ESTIMADO</v>
      </c>
      <c r="E30" s="15" t="str">
        <f aca="false">Inputs!$F$36</f>
        <v>https://www.mercadolibre.cl/queso-mozzarella-barra-35-kg-aprox-molfino-argentino/up/MLCU67695246</v>
      </c>
      <c r="F30" s="15" t="str">
        <f aca="false">Inputs!$G$36</f>
        <v>Publicación de vendedor de Temuco a $10.000/kg IVA incluido, con factura y reparto refrigerado; normalizado /1,19. No es cotización por volumen ni demuestra suministro estable.</v>
      </c>
    </row>
    <row r="31" customFormat="false" ht="12.8" hidden="false" customHeight="false" outlineLevel="0" collapsed="false">
      <c r="A31" s="18" t="str">
        <f aca="false">Inputs!$B$38</f>
        <v>Superficie</v>
      </c>
      <c r="B31" s="65" t="n">
        <f aca="false">Inputs!$C$38</f>
        <v>120</v>
      </c>
      <c r="C31" s="18" t="str">
        <f aca="false">Inputs!$D$38</f>
        <v>m²</v>
      </c>
      <c r="D31" s="18" t="str">
        <f aca="false">Inputs!$E$38</f>
        <v>SUPUESTO</v>
      </c>
      <c r="E31" s="18" t="str">
        <f aca="false">Inputs!$F$38</f>
        <v>07-local-habilitacion/index.html</v>
      </c>
      <c r="F31" s="18" t="str">
        <f aca="false">Inputs!$G$38</f>
        <v>Fallback hasta layout de etapa 04.</v>
      </c>
    </row>
    <row r="32" customFormat="false" ht="35.05" hidden="false" customHeight="false" outlineLevel="0" collapsed="false">
      <c r="A32" s="15" t="str">
        <f aca="false">Inputs!$B$39</f>
        <v>Arriendo por m²/mes</v>
      </c>
      <c r="B32" s="68" t="n">
        <f aca="false">Inputs!$C$39</f>
        <v>6331</v>
      </c>
      <c r="C32" s="15" t="str">
        <f aca="false">Inputs!$D$39</f>
        <v>CLP/m²/mes</v>
      </c>
      <c r="D32" s="15" t="str">
        <f aca="false">Inputs!$E$39</f>
        <v>ESTIMADO</v>
      </c>
      <c r="E32" s="15" t="str">
        <f aca="false">Inputs!$F$39</f>
        <v>https://chilepropiedades.cl/ver-publicacion/arriendo-mensual/temuco/bodega/bodega-nueva-de-1-500-m2-acceso-norte-de-tco-162267/117714745 ; https://propiedades.bmi.cl/6057</v>
      </c>
      <c r="F32" s="15" t="str">
        <f aca="false">Inputs!$G$39</f>
        <v>Punto medio entre avisos industriales de 0,15 y 0,16 UF/m²/mes, convertido con UF base $40.844,79. Son bodegas mayores; no prueba precio de un local alimentario pequeño.</v>
      </c>
    </row>
    <row r="33" customFormat="false" ht="23.85" hidden="false" customHeight="false" outlineLevel="0" collapsed="false">
      <c r="A33" s="18" t="str">
        <f aca="false">Inputs!$B$40</f>
        <v>Arriendo mensual directo (0 = calcular)</v>
      </c>
      <c r="B33" s="63" t="n">
        <f aca="false">Inputs!$C$40</f>
        <v>0</v>
      </c>
      <c r="C33" s="18" t="str">
        <f aca="false">Inputs!$D$40</f>
        <v>CLP/mes</v>
      </c>
      <c r="D33" s="18" t="str">
        <f aca="false">Inputs!$E$40</f>
        <v>PENDIENTE</v>
      </c>
      <c r="E33" s="18" t="n">
        <f aca="false">Inputs!$F$40</f>
        <v>0</v>
      </c>
      <c r="F33" s="18" t="str">
        <f aca="false">Inputs!$G$40</f>
        <v>Depende del metraje, gastos comunes y de encontrar un inmueble compatible con uso de suelo y habilitación sanitaria.</v>
      </c>
    </row>
    <row r="34" customFormat="false" ht="23.85" hidden="false" customHeight="false" outlineLevel="0" collapsed="false">
      <c r="A34" s="15" t="str">
        <f aca="false">Inputs!$B$41</f>
        <v>Nómina bruta mensual</v>
      </c>
      <c r="B34" s="68" t="n">
        <f aca="false">Inputs!$C$41</f>
        <v>2200000</v>
      </c>
      <c r="C34" s="15" t="str">
        <f aca="false">Inputs!$D$41</f>
        <v>CLP/mes</v>
      </c>
      <c r="D34" s="15" t="str">
        <f aca="false">Inputs!$E$41</f>
        <v>SUPUESTO</v>
      </c>
      <c r="E34" s="15" t="str">
        <f aca="false">Inputs!$F$41</f>
        <v>datos/supuestos.json#macro.ingreso_minimo_mensual_clp</v>
      </c>
      <c r="F34" s="15" t="str">
        <f aca="false">Inputs!$G$41</f>
        <v>Incluye costo de oportunidad del trabajo del titular y apoyo productivo/comercial; etapa 09 debe reemplazarlo.</v>
      </c>
    </row>
    <row r="35" customFormat="false" ht="23.85" hidden="false" customHeight="false" outlineLevel="0" collapsed="false">
      <c r="A35" s="18" t="str">
        <f aca="false">Inputs!$B$42</f>
        <v>Factor costo empresa</v>
      </c>
      <c r="B35" s="67" t="n">
        <f aca="false">Inputs!$C$42</f>
        <v>1.22</v>
      </c>
      <c r="C35" s="18" t="str">
        <f aca="false">Inputs!$D$42</f>
        <v>multiplicador</v>
      </c>
      <c r="D35" s="18" t="str">
        <f aca="false">Inputs!$E$42</f>
        <v>SUPUESTO</v>
      </c>
      <c r="E35" s="18" t="str">
        <f aca="false">Inputs!$F$42</f>
        <v>datos/supuestos.json#macro.factor_costo_empresa</v>
      </c>
      <c r="F35" s="18" t="str">
        <f aca="false">Inputs!$G$42</f>
        <v>Fallback dentro del rango preliminar declarado; requiere cálculo previsional de etapa 09.</v>
      </c>
    </row>
    <row r="36" customFormat="false" ht="23.85" hidden="false" customHeight="false" outlineLevel="0" collapsed="false">
      <c r="A36" s="15" t="str">
        <f aca="false">Inputs!$B$43</f>
        <v>Servicios fijos mensuales</v>
      </c>
      <c r="B36" s="68" t="n">
        <f aca="false">Inputs!$C$43</f>
        <v>180000</v>
      </c>
      <c r="C36" s="15" t="str">
        <f aca="false">Inputs!$D$43</f>
        <v>CLP/mes</v>
      </c>
      <c r="D36" s="15" t="str">
        <f aca="false">Inputs!$E$43</f>
        <v>SUPUESTO</v>
      </c>
      <c r="E36" s="15" t="str">
        <f aca="false">Inputs!$F$43</f>
        <v>Etapa 10</v>
      </c>
      <c r="F36" s="15" t="str">
        <f aca="false">Inputs!$G$43</f>
        <v>Cargo fijo de electricidad, agua, gas, internet y residuos, separado del consumo variable.</v>
      </c>
    </row>
    <row r="37" customFormat="false" ht="12.8" hidden="false" customHeight="false" outlineLevel="0" collapsed="false">
      <c r="A37" s="18" t="str">
        <f aca="false">Inputs!$B$44</f>
        <v>Mantenimiento mensual</v>
      </c>
      <c r="B37" s="63" t="n">
        <f aca="false">Inputs!$C$44</f>
        <v>100000</v>
      </c>
      <c r="C37" s="18" t="str">
        <f aca="false">Inputs!$D$44</f>
        <v>CLP/mes</v>
      </c>
      <c r="D37" s="18" t="str">
        <f aca="false">Inputs!$E$44</f>
        <v>SUPUESTO</v>
      </c>
      <c r="E37" s="18" t="str">
        <f aca="false">Inputs!$F$44</f>
        <v>Etapa 10</v>
      </c>
      <c r="F37" s="18" t="str">
        <f aca="false">Inputs!$G$44</f>
        <v>Reserva preventiva; validar con equipos elegidos.</v>
      </c>
    </row>
    <row r="38" customFormat="false" ht="12.8" hidden="false" customHeight="false" outlineLevel="0" collapsed="false">
      <c r="A38" s="15" t="str">
        <f aca="false">Inputs!$B$45</f>
        <v>Administración mensual</v>
      </c>
      <c r="B38" s="68" t="n">
        <f aca="false">Inputs!$C$45</f>
        <v>160000</v>
      </c>
      <c r="C38" s="15" t="str">
        <f aca="false">Inputs!$D$45</f>
        <v>CLP/mes</v>
      </c>
      <c r="D38" s="15" t="str">
        <f aca="false">Inputs!$E$45</f>
        <v>SUPUESTO</v>
      </c>
      <c r="E38" s="15" t="str">
        <f aca="false">Inputs!$F$45</f>
        <v>Etapa 10</v>
      </c>
      <c r="F38" s="15" t="str">
        <f aca="false">Inputs!$G$45</f>
        <v>Contabilidad, software básico, telefonía y gastos bancarios.</v>
      </c>
    </row>
    <row r="39" customFormat="false" ht="12.8" hidden="false" customHeight="false" outlineLevel="0" collapsed="false">
      <c r="A39" s="18" t="str">
        <f aca="false">Inputs!$B$46</f>
        <v>Ventas mensuales</v>
      </c>
      <c r="B39" s="63" t="n">
        <f aca="false">Inputs!$C$46</f>
        <v>180000</v>
      </c>
      <c r="C39" s="18" t="str">
        <f aca="false">Inputs!$D$46</f>
        <v>CLP/mes</v>
      </c>
      <c r="D39" s="18" t="str">
        <f aca="false">Inputs!$E$46</f>
        <v>SUPUESTO</v>
      </c>
      <c r="E39" s="18" t="str">
        <f aca="false">Inputs!$F$46</f>
        <v>Etapa 10</v>
      </c>
      <c r="F39" s="18" t="str">
        <f aca="false">Inputs!$G$46</f>
        <v>Muestras, visitas y material comercial.</v>
      </c>
    </row>
    <row r="40" customFormat="false" ht="12.8" hidden="false" customHeight="false" outlineLevel="0" collapsed="false">
      <c r="A40" s="15" t="str">
        <f aca="false">Inputs!$B$47</f>
        <v>Seguros mensuales</v>
      </c>
      <c r="B40" s="68" t="n">
        <f aca="false">Inputs!$C$47</f>
        <v>60000</v>
      </c>
      <c r="C40" s="15" t="str">
        <f aca="false">Inputs!$D$47</f>
        <v>CLP/mes</v>
      </c>
      <c r="D40" s="15" t="str">
        <f aca="false">Inputs!$E$47</f>
        <v>SUPUESTO</v>
      </c>
      <c r="E40" s="15" t="str">
        <f aca="false">Inputs!$F$47</f>
        <v>Etapa 10</v>
      </c>
      <c r="F40" s="15" t="str">
        <f aca="false">Inputs!$G$47</f>
        <v>Cotización pendiente.</v>
      </c>
    </row>
    <row r="41" customFormat="false" ht="23.85" hidden="false" customHeight="false" outlineLevel="0" collapsed="false">
      <c r="A41" s="18" t="str">
        <f aca="false">Inputs!$B$48</f>
        <v>Días cuentas por cobrar</v>
      </c>
      <c r="B41" s="65" t="n">
        <f aca="false">Inputs!$C$48</f>
        <v>30</v>
      </c>
      <c r="C41" s="18" t="str">
        <f aca="false">Inputs!$D$48</f>
        <v>días</v>
      </c>
      <c r="D41" s="18" t="str">
        <f aca="false">Inputs!$E$48</f>
        <v>SUPUESTO</v>
      </c>
      <c r="E41" s="18" t="str">
        <f aca="false">Inputs!$F$48</f>
        <v>datos/parametros-02-competencia.json#precios.plazo_cobro_dias</v>
      </c>
      <c r="F41" s="18" t="str">
        <f aca="false">Inputs!$G$48</f>
        <v>Fallback consistente con el modelo de negocio; debe sustituirse por práctica validada.</v>
      </c>
    </row>
    <row r="42" customFormat="false" ht="12.8" hidden="false" customHeight="false" outlineLevel="0" collapsed="false">
      <c r="A42" s="15" t="str">
        <f aca="false">Inputs!$B$49</f>
        <v>Días inventario</v>
      </c>
      <c r="B42" s="64" t="n">
        <f aca="false">Inputs!$C$49</f>
        <v>15</v>
      </c>
      <c r="C42" s="15" t="str">
        <f aca="false">Inputs!$D$49</f>
        <v>días de costo variable</v>
      </c>
      <c r="D42" s="15" t="str">
        <f aca="false">Inputs!$E$49</f>
        <v>SUPUESTO</v>
      </c>
      <c r="E42" s="15" t="str">
        <f aca="false">Inputs!$F$49</f>
        <v>Etapa 10</v>
      </c>
      <c r="F42" s="15" t="str">
        <f aca="false">Inputs!$G$49</f>
        <v>Materia prima más producto terminado.</v>
      </c>
    </row>
    <row r="43" customFormat="false" ht="12.8" hidden="false" customHeight="false" outlineLevel="0" collapsed="false">
      <c r="A43" s="18" t="str">
        <f aca="false">Inputs!$B$50</f>
        <v>Días cuentas por pagar</v>
      </c>
      <c r="B43" s="65" t="n">
        <f aca="false">Inputs!$C$50</f>
        <v>0</v>
      </c>
      <c r="C43" s="18" t="str">
        <f aca="false">Inputs!$D$50</f>
        <v>días de costo variable</v>
      </c>
      <c r="D43" s="18" t="str">
        <f aca="false">Inputs!$E$50</f>
        <v>SUPUESTO</v>
      </c>
      <c r="E43" s="18" t="str">
        <f aca="false">Inputs!$F$50</f>
        <v>Etapa 10</v>
      </c>
      <c r="F43" s="18" t="str">
        <f aca="false">Inputs!$G$50</f>
        <v>Caso conservador sin crédito de proveedores.</v>
      </c>
    </row>
    <row r="44" customFormat="false" ht="23.85" hidden="false" customHeight="false" outlineLevel="0" collapsed="false">
      <c r="A44" s="15" t="str">
        <f aca="false">Inputs!$B$52</f>
        <v>Abatidor</v>
      </c>
      <c r="B44" s="68" t="n">
        <f aca="false">Inputs!$C$52</f>
        <v>2779980</v>
      </c>
      <c r="C44" s="15" t="str">
        <f aca="false">Inputs!$D$52</f>
        <v>CLP neto</v>
      </c>
      <c r="D44" s="15" t="str">
        <f aca="false">Inputs!$E$52</f>
        <v>VERIFICADO</v>
      </c>
      <c r="E44" s="15" t="str">
        <f aca="false">Inputs!$F$52</f>
        <v>https://calvac.cl/venta/abatidor-10-bandejas-2/</v>
      </c>
      <c r="F44" s="15" t="str">
        <f aca="false">Inputs!$G$52</f>
        <v>10 bandejas, congelación declarada hasta 30 kg; precio publicado + IVA.</v>
      </c>
    </row>
    <row r="45" customFormat="false" ht="12.8" hidden="false" customHeight="false" outlineLevel="0" collapsed="false">
      <c r="A45" s="18" t="str">
        <f aca="false">Inputs!$B$53</f>
        <v>Amasadora</v>
      </c>
      <c r="B45" s="63" t="n">
        <f aca="false">Inputs!$C$53</f>
        <v>747815</v>
      </c>
      <c r="C45" s="18" t="str">
        <f aca="false">Inputs!$D$53</f>
        <v>CLP neto</v>
      </c>
      <c r="D45" s="18" t="str">
        <f aca="false">Inputs!$E$53</f>
        <v>VERIFICADO</v>
      </c>
      <c r="E45" s="18" t="str">
        <f aca="false">Inputs!$F$53</f>
        <v>https://www.supermaq.cl/amasadoras/amasadora_20_kilos/</v>
      </c>
      <c r="F45" s="18" t="str">
        <f aca="false">Inputs!$G$53</f>
        <v>Amasadora espiral 20 kg, precio internet + IVA.</v>
      </c>
    </row>
    <row r="46" customFormat="false" ht="23.85" hidden="false" customHeight="false" outlineLevel="0" collapsed="false">
      <c r="A46" s="15" t="str">
        <f aca="false">Inputs!$B$54</f>
        <v>Horno</v>
      </c>
      <c r="B46" s="68" t="n">
        <f aca="false">Inputs!$C$54</f>
        <v>400000</v>
      </c>
      <c r="C46" s="15" t="str">
        <f aca="false">Inputs!$D$54</f>
        <v>CLP neto</v>
      </c>
      <c r="D46" s="15" t="str">
        <f aca="false">Inputs!$E$54</f>
        <v>VERIFICADO</v>
      </c>
      <c r="E46" s="15" t="str">
        <f aca="false">Inputs!$F$54</f>
        <v>https://www.supermaq.cl/hornos_pizza/horno_electrico_pizzero_2_camara_40x40.pdf</v>
      </c>
      <c r="F46" s="15" t="str">
        <f aca="false">Inputs!$G$54</f>
        <v>Horno pizzero eléctrico dos cámaras, oferta + IVA; verificar capacidad real de precocción.</v>
      </c>
    </row>
    <row r="47" customFormat="false" ht="23.85" hidden="false" customHeight="false" outlineLevel="0" collapsed="false">
      <c r="A47" s="18" t="str">
        <f aca="false">Inputs!$B$55</f>
        <v>Selladora al vacío</v>
      </c>
      <c r="B47" s="63" t="n">
        <f aca="false">Inputs!$C$55</f>
        <v>570000</v>
      </c>
      <c r="C47" s="18" t="str">
        <f aca="false">Inputs!$D$55</f>
        <v>CLP neto</v>
      </c>
      <c r="D47" s="18" t="str">
        <f aca="false">Inputs!$E$55</f>
        <v>ESTIMADO</v>
      </c>
      <c r="E47" s="18" t="str">
        <f aca="false">Inputs!$F$55</f>
        <v>https://www.supermaq.cl/pdf/camara.cl_selladora_al_vacio_300_mm_dz300.pdf</v>
      </c>
      <c r="F47" s="18" t="str">
        <f aca="false">Inputs!$G$55</f>
        <v>Ficha con precio publicado; confirmar vigencia y compatibilidad con formato.</v>
      </c>
    </row>
    <row r="48" customFormat="false" ht="23.85" hidden="false" customHeight="false" outlineLevel="0" collapsed="false">
      <c r="A48" s="15" t="str">
        <f aca="false">Inputs!$B$56</f>
        <v>Mesón refrigerado</v>
      </c>
      <c r="B48" s="68" t="n">
        <f aca="false">Inputs!$C$56</f>
        <v>620000</v>
      </c>
      <c r="C48" s="15" t="str">
        <f aca="false">Inputs!$D$56</f>
        <v>CLP neto</v>
      </c>
      <c r="D48" s="15" t="str">
        <f aca="false">Inputs!$E$56</f>
        <v>ESTIMADO</v>
      </c>
      <c r="E48" s="15" t="str">
        <f aca="false">Inputs!$F$56</f>
        <v>https://www.industriaminera.cl/producto/biggi-chile-sa-mesones-refrigerados/</v>
      </c>
      <c r="F48" s="15" t="str">
        <f aca="false">Inputs!$G$56</f>
        <v>Mesón 120 cm publicado + IVA; confirmar vigencia.</v>
      </c>
    </row>
    <row r="49" customFormat="false" ht="23.85" hidden="false" customHeight="false" outlineLevel="0" collapsed="false">
      <c r="A49" s="18" t="str">
        <f aca="false">Inputs!$B$57</f>
        <v>Congeladores</v>
      </c>
      <c r="B49" s="63" t="n">
        <f aca="false">Inputs!$C$57</f>
        <v>700000</v>
      </c>
      <c r="C49" s="18" t="str">
        <f aca="false">Inputs!$D$57</f>
        <v>CLP neto</v>
      </c>
      <c r="D49" s="18" t="str">
        <f aca="false">Inputs!$E$57</f>
        <v>SUPUESTO</v>
      </c>
      <c r="E49" s="18" t="str">
        <f aca="false">Inputs!$F$57</f>
        <v>https://gastronomicareal.cl/refrigeracion/congeladoras</v>
      </c>
      <c r="F49" s="18" t="str">
        <f aca="false">Inputs!$G$57</f>
        <v>Bolsa para almacenamiento −18 °C; requiere selección por capacidad y redundancia.</v>
      </c>
    </row>
    <row r="50" customFormat="false" ht="23.85" hidden="false" customHeight="false" outlineLevel="0" collapsed="false">
      <c r="A50" s="15" t="str">
        <f aca="false">Inputs!$B$58</f>
        <v>Acero, lavado y extracción</v>
      </c>
      <c r="B50" s="68" t="n">
        <f aca="false">Inputs!$C$58</f>
        <v>1800000</v>
      </c>
      <c r="C50" s="15" t="str">
        <f aca="false">Inputs!$D$58</f>
        <v>CLP neto</v>
      </c>
      <c r="D50" s="15" t="str">
        <f aca="false">Inputs!$E$58</f>
        <v>SUPUESTO</v>
      </c>
      <c r="E50" s="15" t="str">
        <f aca="false">Inputs!$F$58</f>
        <v>Etapa 10</v>
      </c>
      <c r="F50" s="15" t="str">
        <f aca="false">Inputs!$G$58</f>
        <v>Mesones, lavaderos, campana y elementos fijos; cotización pendiente.</v>
      </c>
    </row>
    <row r="51" customFormat="false" ht="12.8" hidden="false" customHeight="false" outlineLevel="0" collapsed="false">
      <c r="A51" s="18" t="str">
        <f aca="false">Inputs!$B$59</f>
        <v>Racks, bandejas e instrumentos</v>
      </c>
      <c r="B51" s="63" t="n">
        <f aca="false">Inputs!$C$59</f>
        <v>1200000</v>
      </c>
      <c r="C51" s="18" t="str">
        <f aca="false">Inputs!$D$59</f>
        <v>CLP neto</v>
      </c>
      <c r="D51" s="18" t="str">
        <f aca="false">Inputs!$E$59</f>
        <v>SUPUESTO</v>
      </c>
      <c r="E51" s="18" t="str">
        <f aca="false">Inputs!$F$59</f>
        <v>Etapa 10</v>
      </c>
      <c r="F51" s="18" t="str">
        <f aca="false">Inputs!$G$59</f>
        <v>Carros, bandejas, balanzas, sondas y utensilios.</v>
      </c>
    </row>
    <row r="52" customFormat="false" ht="12.8" hidden="false" customHeight="false" outlineLevel="0" collapsed="false">
      <c r="A52" s="15" t="str">
        <f aca="false">Inputs!$B$60</f>
        <v>Flete e instalación</v>
      </c>
      <c r="B52" s="62" t="n">
        <f aca="false">Inputs!$C$60</f>
        <v>0.15</v>
      </c>
      <c r="C52" s="15" t="str">
        <f aca="false">Inputs!$D$60</f>
        <v>% sobre equipos</v>
      </c>
      <c r="D52" s="15" t="str">
        <f aca="false">Inputs!$E$60</f>
        <v>SUPUESTO</v>
      </c>
      <c r="E52" s="15" t="str">
        <f aca="false">Inputs!$F$60</f>
        <v>Etapa 10</v>
      </c>
      <c r="F52" s="15" t="str">
        <f aca="false">Inputs!$G$60</f>
        <v>Flete Santiago–Temuco, conexión y puesta en marcha.</v>
      </c>
    </row>
    <row r="53" customFormat="false" ht="23.85" hidden="false" customHeight="false" outlineLevel="0" collapsed="false">
      <c r="A53" s="18" t="str">
        <f aca="false">Inputs!$B$61</f>
        <v>Habilitación sanitaria</v>
      </c>
      <c r="B53" s="63" t="n">
        <f aca="false">Inputs!$C$61</f>
        <v>12000000</v>
      </c>
      <c r="C53" s="18" t="str">
        <f aca="false">Inputs!$D$61</f>
        <v>CLP neto</v>
      </c>
      <c r="D53" s="18" t="str">
        <f aca="false">Inputs!$E$61</f>
        <v>SUPUESTO</v>
      </c>
      <c r="E53" s="18" t="str">
        <f aca="false">Inputs!$F$61</f>
        <v>07-local-habilitacion/index.html</v>
      </c>
      <c r="F53" s="18" t="str">
        <f aca="false">Inputs!$G$61</f>
        <v>Riesgo principal; reemplazar por presupuesto desglosado de un local real.</v>
      </c>
    </row>
    <row r="54" customFormat="false" ht="12.8" hidden="false" customHeight="false" outlineLevel="0" collapsed="false">
      <c r="A54" s="15" t="str">
        <f aca="false">Inputs!$B$62</f>
        <v>Trámites, análisis y rotulado</v>
      </c>
      <c r="B54" s="68" t="n">
        <f aca="false">Inputs!$C$62</f>
        <v>1000000</v>
      </c>
      <c r="C54" s="15" t="str">
        <f aca="false">Inputs!$D$62</f>
        <v>CLP neto</v>
      </c>
      <c r="D54" s="15" t="str">
        <f aca="false">Inputs!$E$62</f>
        <v>SUPUESTO</v>
      </c>
      <c r="E54" s="15" t="str">
        <f aca="false">Inputs!$F$62</f>
        <v>08-legal-normativo/index.html</v>
      </c>
      <c r="F54" s="15" t="str">
        <f aca="false">Inputs!$G$62</f>
        <v>Aranceles, laboratorio y artes; cotización pendiente.</v>
      </c>
    </row>
    <row r="55" customFormat="false" ht="12.8" hidden="false" customHeight="false" outlineLevel="0" collapsed="false">
      <c r="A55" s="18" t="str">
        <f aca="false">Inputs!$B$63</f>
        <v>Preoperación</v>
      </c>
      <c r="B55" s="63" t="n">
        <f aca="false">Inputs!$C$63</f>
        <v>1500000</v>
      </c>
      <c r="C55" s="18" t="str">
        <f aca="false">Inputs!$D$63</f>
        <v>CLP neto</v>
      </c>
      <c r="D55" s="18" t="str">
        <f aca="false">Inputs!$E$63</f>
        <v>SUPUESTO</v>
      </c>
      <c r="E55" s="18" t="str">
        <f aca="false">Inputs!$F$63</f>
        <v>Etapa 10</v>
      </c>
      <c r="F55" s="18" t="str">
        <f aca="false">Inputs!$G$63</f>
        <v>Pruebas, capacitación, muestras y apertura.</v>
      </c>
    </row>
    <row r="56" customFormat="false" ht="35.05" hidden="false" customHeight="false" outlineLevel="0" collapsed="false">
      <c r="A56" s="15" t="str">
        <f aca="false">Inputs!$B$64</f>
        <v>Contingencia</v>
      </c>
      <c r="B56" s="62" t="n">
        <f aca="false">Inputs!$C$64</f>
        <v>0.15</v>
      </c>
      <c r="C56" s="15" t="str">
        <f aca="false">Inputs!$D$64</f>
        <v>% sobre equipos, instalación y habilitación</v>
      </c>
      <c r="D56" s="15" t="str">
        <f aca="false">Inputs!$E$64</f>
        <v>SUPUESTO</v>
      </c>
      <c r="E56" s="15" t="str">
        <f aca="false">Inputs!$F$64</f>
        <v>Etapa 10</v>
      </c>
      <c r="F56" s="15" t="str">
        <f aca="false">Inputs!$G$64</f>
        <v>Reserva de estimación conceptual; no reemplaza cotizaciones.</v>
      </c>
    </row>
    <row r="57" customFormat="false" ht="12.8" hidden="false" customHeight="false" outlineLevel="0" collapsed="false">
      <c r="A57" s="18" t="str">
        <f aca="false">Inputs!$B$65</f>
        <v>Garantía de arriendo</v>
      </c>
      <c r="B57" s="65" t="n">
        <f aca="false">Inputs!$C$65</f>
        <v>2</v>
      </c>
      <c r="C57" s="18" t="str">
        <f aca="false">Inputs!$D$65</f>
        <v>meses</v>
      </c>
      <c r="D57" s="18" t="str">
        <f aca="false">Inputs!$E$65</f>
        <v>SUPUESTO</v>
      </c>
      <c r="E57" s="18" t="str">
        <f aca="false">Inputs!$F$65</f>
        <v>Etapa 10</v>
      </c>
      <c r="F57" s="18" t="str">
        <f aca="false">Inputs!$G$65</f>
        <v>Activo recuperable al final si no hay daños.</v>
      </c>
    </row>
    <row r="58" customFormat="false" ht="23.85" hidden="false" customHeight="false" outlineLevel="0" collapsed="false">
      <c r="A58" s="15" t="str">
        <f aca="false">Inputs!$B$66</f>
        <v>Vida depreciable</v>
      </c>
      <c r="B58" s="64" t="n">
        <f aca="false">Inputs!$C$66</f>
        <v>5</v>
      </c>
      <c r="C58" s="15" t="str">
        <f aca="false">Inputs!$D$66</f>
        <v>años lineales</v>
      </c>
      <c r="D58" s="15" t="str">
        <f aca="false">Inputs!$E$66</f>
        <v>SUPUESTO</v>
      </c>
      <c r="E58" s="15" t="str">
        <f aca="false">Inputs!$F$66</f>
        <v>https://www.sii.cl/valores_y_fechas/tabla_vida_util_activo_inmovilizado.html</v>
      </c>
      <c r="F58" s="15" t="str">
        <f aca="false">Inputs!$G$66</f>
        <v>Simplificación financiera; validar categoría y depreciación tributaria por activo.</v>
      </c>
    </row>
    <row r="59" customFormat="false" ht="23.85" hidden="false" customHeight="false" outlineLevel="0" collapsed="false">
      <c r="A59" s="18" t="str">
        <f aca="false">Inputs!$B$67</f>
        <v>Valor residual</v>
      </c>
      <c r="B59" s="61" t="n">
        <f aca="false">Inputs!$C$67</f>
        <v>0.1</v>
      </c>
      <c r="C59" s="18" t="str">
        <f aca="false">Inputs!$D$67</f>
        <v>% del CAPEX depreciable</v>
      </c>
      <c r="D59" s="18" t="str">
        <f aca="false">Inputs!$E$67</f>
        <v>SUPUESTO</v>
      </c>
      <c r="E59" s="18" t="str">
        <f aca="false">Inputs!$F$67</f>
        <v>Etapa 10</v>
      </c>
      <c r="F59" s="18" t="str">
        <f aca="false">Inputs!$G$67</f>
        <v>Valor de realización al año 5 antes de impuesto.</v>
      </c>
    </row>
    <row r="60" customFormat="false" ht="12.8" hidden="false" customHeight="false" outlineLevel="0" collapsed="false">
      <c r="A60" s="15" t="str">
        <f aca="false">Inputs!$B$69</f>
        <v>Pesimista: precio</v>
      </c>
      <c r="B60" s="66" t="n">
        <f aca="false">Inputs!$C$69</f>
        <v>0.9</v>
      </c>
      <c r="C60" s="15" t="str">
        <f aca="false">Inputs!$D$69</f>
        <v>multiplicador</v>
      </c>
      <c r="D60" s="15" t="str">
        <f aca="false">Inputs!$E$69</f>
        <v>SUPUESTO</v>
      </c>
      <c r="E60" s="15" t="str">
        <f aca="false">Inputs!$F$69</f>
        <v>Etapa 10</v>
      </c>
      <c r="F60" s="15" t="str">
        <f aca="false">Inputs!$G$69</f>
        <v>Editable para análisis de riesgo.</v>
      </c>
    </row>
    <row r="61" customFormat="false" ht="12.8" hidden="false" customHeight="false" outlineLevel="0" collapsed="false">
      <c r="A61" s="18" t="str">
        <f aca="false">Inputs!$B$70</f>
        <v>Pesimista: volumen</v>
      </c>
      <c r="B61" s="67" t="n">
        <f aca="false">Inputs!$C$70</f>
        <v>0.8</v>
      </c>
      <c r="C61" s="18" t="str">
        <f aca="false">Inputs!$D$70</f>
        <v>multiplicador</v>
      </c>
      <c r="D61" s="18" t="str">
        <f aca="false">Inputs!$E$70</f>
        <v>SUPUESTO</v>
      </c>
      <c r="E61" s="18" t="str">
        <f aca="false">Inputs!$F$70</f>
        <v>Etapa 10</v>
      </c>
      <c r="F61" s="18" t="str">
        <f aca="false">Inputs!$G$70</f>
        <v>Editable para análisis de riesgo.</v>
      </c>
    </row>
    <row r="62" customFormat="false" ht="12.8" hidden="false" customHeight="false" outlineLevel="0" collapsed="false">
      <c r="A62" s="15" t="str">
        <f aca="false">Inputs!$B$71</f>
        <v>Pesimista: costo variable</v>
      </c>
      <c r="B62" s="66" t="n">
        <f aca="false">Inputs!$C$71</f>
        <v>1.1</v>
      </c>
      <c r="C62" s="15" t="str">
        <f aca="false">Inputs!$D$71</f>
        <v>multiplicador</v>
      </c>
      <c r="D62" s="15" t="str">
        <f aca="false">Inputs!$E$71</f>
        <v>SUPUESTO</v>
      </c>
      <c r="E62" s="15" t="str">
        <f aca="false">Inputs!$F$71</f>
        <v>Etapa 10</v>
      </c>
      <c r="F62" s="15" t="str">
        <f aca="false">Inputs!$G$71</f>
        <v>Editable para análisis de riesgo.</v>
      </c>
    </row>
    <row r="63" customFormat="false" ht="12.8" hidden="false" customHeight="false" outlineLevel="0" collapsed="false">
      <c r="A63" s="18" t="str">
        <f aca="false">Inputs!$B$72</f>
        <v>Pesimista: costo fijo</v>
      </c>
      <c r="B63" s="67" t="n">
        <f aca="false">Inputs!$C$72</f>
        <v>1.1</v>
      </c>
      <c r="C63" s="18" t="str">
        <f aca="false">Inputs!$D$72</f>
        <v>multiplicador</v>
      </c>
      <c r="D63" s="18" t="str">
        <f aca="false">Inputs!$E$72</f>
        <v>SUPUESTO</v>
      </c>
      <c r="E63" s="18" t="str">
        <f aca="false">Inputs!$F$72</f>
        <v>Etapa 10</v>
      </c>
      <c r="F63" s="18" t="str">
        <f aca="false">Inputs!$G$72</f>
        <v>Editable para análisis de riesgo.</v>
      </c>
    </row>
    <row r="64" customFormat="false" ht="12.8" hidden="false" customHeight="false" outlineLevel="0" collapsed="false">
      <c r="A64" s="15" t="str">
        <f aca="false">Inputs!$B$73</f>
        <v>Pesimista: CAPEX</v>
      </c>
      <c r="B64" s="66" t="n">
        <f aca="false">Inputs!$C$73</f>
        <v>1.15</v>
      </c>
      <c r="C64" s="15" t="str">
        <f aca="false">Inputs!$D$73</f>
        <v>multiplicador</v>
      </c>
      <c r="D64" s="15" t="str">
        <f aca="false">Inputs!$E$73</f>
        <v>SUPUESTO</v>
      </c>
      <c r="E64" s="15" t="str">
        <f aca="false">Inputs!$F$73</f>
        <v>Etapa 10</v>
      </c>
      <c r="F64" s="15" t="str">
        <f aca="false">Inputs!$G$73</f>
        <v>Editable para análisis de riesgo.</v>
      </c>
    </row>
    <row r="65" customFormat="false" ht="12.8" hidden="false" customHeight="false" outlineLevel="0" collapsed="false">
      <c r="A65" s="18" t="str">
        <f aca="false">Inputs!$B$74</f>
        <v>Base: precio</v>
      </c>
      <c r="B65" s="65" t="n">
        <f aca="false">Inputs!$C$74</f>
        <v>1</v>
      </c>
      <c r="C65" s="18" t="str">
        <f aca="false">Inputs!$D$74</f>
        <v>multiplicador</v>
      </c>
      <c r="D65" s="18" t="str">
        <f aca="false">Inputs!$E$74</f>
        <v>SUPUESTO</v>
      </c>
      <c r="E65" s="18" t="str">
        <f aca="false">Inputs!$F$74</f>
        <v>Etapa 10</v>
      </c>
      <c r="F65" s="18" t="str">
        <f aca="false">Inputs!$G$74</f>
        <v>Editable para análisis de riesgo.</v>
      </c>
    </row>
    <row r="66" customFormat="false" ht="12.8" hidden="false" customHeight="false" outlineLevel="0" collapsed="false">
      <c r="A66" s="15" t="str">
        <f aca="false">Inputs!$B$75</f>
        <v>Base: volumen</v>
      </c>
      <c r="B66" s="64" t="n">
        <f aca="false">Inputs!$C$75</f>
        <v>1</v>
      </c>
      <c r="C66" s="15" t="str">
        <f aca="false">Inputs!$D$75</f>
        <v>multiplicador</v>
      </c>
      <c r="D66" s="15" t="str">
        <f aca="false">Inputs!$E$75</f>
        <v>SUPUESTO</v>
      </c>
      <c r="E66" s="15" t="str">
        <f aca="false">Inputs!$F$75</f>
        <v>Etapa 10</v>
      </c>
      <c r="F66" s="15" t="str">
        <f aca="false">Inputs!$G$75</f>
        <v>Editable para análisis de riesgo.</v>
      </c>
    </row>
    <row r="67" customFormat="false" ht="12.8" hidden="false" customHeight="false" outlineLevel="0" collapsed="false">
      <c r="A67" s="18" t="str">
        <f aca="false">Inputs!$B$76</f>
        <v>Base: costo variable</v>
      </c>
      <c r="B67" s="65" t="n">
        <f aca="false">Inputs!$C$76</f>
        <v>1</v>
      </c>
      <c r="C67" s="18" t="str">
        <f aca="false">Inputs!$D$76</f>
        <v>multiplicador</v>
      </c>
      <c r="D67" s="18" t="str">
        <f aca="false">Inputs!$E$76</f>
        <v>SUPUESTO</v>
      </c>
      <c r="E67" s="18" t="str">
        <f aca="false">Inputs!$F$76</f>
        <v>Etapa 10</v>
      </c>
      <c r="F67" s="18" t="str">
        <f aca="false">Inputs!$G$76</f>
        <v>Editable para análisis de riesgo.</v>
      </c>
    </row>
    <row r="68" customFormat="false" ht="12.8" hidden="false" customHeight="false" outlineLevel="0" collapsed="false">
      <c r="A68" s="15" t="str">
        <f aca="false">Inputs!$B$77</f>
        <v>Base: costo fijo</v>
      </c>
      <c r="B68" s="64" t="n">
        <f aca="false">Inputs!$C$77</f>
        <v>1</v>
      </c>
      <c r="C68" s="15" t="str">
        <f aca="false">Inputs!$D$77</f>
        <v>multiplicador</v>
      </c>
      <c r="D68" s="15" t="str">
        <f aca="false">Inputs!$E$77</f>
        <v>SUPUESTO</v>
      </c>
      <c r="E68" s="15" t="str">
        <f aca="false">Inputs!$F$77</f>
        <v>Etapa 10</v>
      </c>
      <c r="F68" s="15" t="str">
        <f aca="false">Inputs!$G$77</f>
        <v>Editable para análisis de riesgo.</v>
      </c>
    </row>
    <row r="69" customFormat="false" ht="12.8" hidden="false" customHeight="false" outlineLevel="0" collapsed="false">
      <c r="A69" s="18" t="str">
        <f aca="false">Inputs!$B$78</f>
        <v>Base: CAPEX</v>
      </c>
      <c r="B69" s="65" t="n">
        <f aca="false">Inputs!$C$78</f>
        <v>1</v>
      </c>
      <c r="C69" s="18" t="str">
        <f aca="false">Inputs!$D$78</f>
        <v>multiplicador</v>
      </c>
      <c r="D69" s="18" t="str">
        <f aca="false">Inputs!$E$78</f>
        <v>SUPUESTO</v>
      </c>
      <c r="E69" s="18" t="str">
        <f aca="false">Inputs!$F$78</f>
        <v>Etapa 10</v>
      </c>
      <c r="F69" s="18" t="str">
        <f aca="false">Inputs!$G$78</f>
        <v>Editable para análisis de riesgo.</v>
      </c>
    </row>
    <row r="70" customFormat="false" ht="12.8" hidden="false" customHeight="false" outlineLevel="0" collapsed="false">
      <c r="A70" s="15" t="str">
        <f aca="false">Inputs!$B$79</f>
        <v>Optimista: precio</v>
      </c>
      <c r="B70" s="66" t="n">
        <f aca="false">Inputs!$C$79</f>
        <v>1.1</v>
      </c>
      <c r="C70" s="15" t="str">
        <f aca="false">Inputs!$D$79</f>
        <v>multiplicador</v>
      </c>
      <c r="D70" s="15" t="str">
        <f aca="false">Inputs!$E$79</f>
        <v>SUPUESTO</v>
      </c>
      <c r="E70" s="15" t="str">
        <f aca="false">Inputs!$F$79</f>
        <v>Etapa 10</v>
      </c>
      <c r="F70" s="15" t="str">
        <f aca="false">Inputs!$G$79</f>
        <v>Editable para análisis de riesgo.</v>
      </c>
    </row>
    <row r="71" customFormat="false" ht="12.8" hidden="false" customHeight="false" outlineLevel="0" collapsed="false">
      <c r="A71" s="18" t="str">
        <f aca="false">Inputs!$B$80</f>
        <v>Optimista: volumen</v>
      </c>
      <c r="B71" s="67" t="n">
        <f aca="false">Inputs!$C$80</f>
        <v>1.2</v>
      </c>
      <c r="C71" s="18" t="str">
        <f aca="false">Inputs!$D$80</f>
        <v>multiplicador</v>
      </c>
      <c r="D71" s="18" t="str">
        <f aca="false">Inputs!$E$80</f>
        <v>SUPUESTO</v>
      </c>
      <c r="E71" s="18" t="str">
        <f aca="false">Inputs!$F$80</f>
        <v>Etapa 10</v>
      </c>
      <c r="F71" s="18" t="str">
        <f aca="false">Inputs!$G$80</f>
        <v>Editable para análisis de riesgo.</v>
      </c>
    </row>
    <row r="72" customFormat="false" ht="12.8" hidden="false" customHeight="false" outlineLevel="0" collapsed="false">
      <c r="A72" s="15" t="str">
        <f aca="false">Inputs!$B$81</f>
        <v>Optimista: costo variable</v>
      </c>
      <c r="B72" s="66" t="n">
        <f aca="false">Inputs!$C$81</f>
        <v>0.95</v>
      </c>
      <c r="C72" s="15" t="str">
        <f aca="false">Inputs!$D$81</f>
        <v>multiplicador</v>
      </c>
      <c r="D72" s="15" t="str">
        <f aca="false">Inputs!$E$81</f>
        <v>SUPUESTO</v>
      </c>
      <c r="E72" s="15" t="str">
        <f aca="false">Inputs!$F$81</f>
        <v>Etapa 10</v>
      </c>
      <c r="F72" s="15" t="str">
        <f aca="false">Inputs!$G$81</f>
        <v>Editable para análisis de riesgo.</v>
      </c>
    </row>
    <row r="73" customFormat="false" ht="12.8" hidden="false" customHeight="false" outlineLevel="0" collapsed="false">
      <c r="A73" s="18" t="str">
        <f aca="false">Inputs!$B$82</f>
        <v>Optimista: costo fijo</v>
      </c>
      <c r="B73" s="65" t="n">
        <f aca="false">Inputs!$C$82</f>
        <v>1</v>
      </c>
      <c r="C73" s="18" t="str">
        <f aca="false">Inputs!$D$82</f>
        <v>multiplicador</v>
      </c>
      <c r="D73" s="18" t="str">
        <f aca="false">Inputs!$E$82</f>
        <v>SUPUESTO</v>
      </c>
      <c r="E73" s="18" t="str">
        <f aca="false">Inputs!$F$82</f>
        <v>Etapa 10</v>
      </c>
      <c r="F73" s="18" t="str">
        <f aca="false">Inputs!$G$82</f>
        <v>Editable para análisis de riesgo.</v>
      </c>
    </row>
    <row r="74" customFormat="false" ht="12.8" hidden="false" customHeight="false" outlineLevel="0" collapsed="false">
      <c r="A74" s="15" t="str">
        <f aca="false">Inputs!$B$83</f>
        <v>Optimista: CAPEX</v>
      </c>
      <c r="B74" s="66" t="n">
        <f aca="false">Inputs!$C$83</f>
        <v>0.95</v>
      </c>
      <c r="C74" s="15" t="str">
        <f aca="false">Inputs!$D$83</f>
        <v>multiplicador</v>
      </c>
      <c r="D74" s="15" t="str">
        <f aca="false">Inputs!$E$83</f>
        <v>SUPUESTO</v>
      </c>
      <c r="E74" s="15" t="str">
        <f aca="false">Inputs!$F$83</f>
        <v>Etapa 10</v>
      </c>
      <c r="F74" s="15" t="str">
        <f aca="false">Inputs!$G$83</f>
        <v>Editable para análisis de riesgo.</v>
      </c>
    </row>
    <row r="75" customFormat="false" ht="12.8" hidden="false" customHeight="false" outlineLevel="0" collapsed="false">
      <c r="A75" s="18" t="str">
        <f aca="false">Inputs!$B$84</f>
        <v>Sensibilidad: precio bajo</v>
      </c>
      <c r="B75" s="67" t="n">
        <f aca="false">Inputs!$C$84</f>
        <v>0.9</v>
      </c>
      <c r="C75" s="18" t="str">
        <f aca="false">Inputs!$D$84</f>
        <v>multiplicador</v>
      </c>
      <c r="D75" s="18" t="str">
        <f aca="false">Inputs!$E$84</f>
        <v>SUPUESTO</v>
      </c>
      <c r="E75" s="18" t="str">
        <f aca="false">Inputs!$F$84</f>
        <v>Etapa 10</v>
      </c>
      <c r="F75" s="18" t="str">
        <f aca="false">Inputs!$G$84</f>
        <v>Editable para análisis de riesgo.</v>
      </c>
    </row>
    <row r="76" customFormat="false" ht="12.8" hidden="false" customHeight="false" outlineLevel="0" collapsed="false">
      <c r="A76" s="15" t="str">
        <f aca="false">Inputs!$B$85</f>
        <v>Sensibilidad: precio alto</v>
      </c>
      <c r="B76" s="66" t="n">
        <f aca="false">Inputs!$C$85</f>
        <v>1.1</v>
      </c>
      <c r="C76" s="15" t="str">
        <f aca="false">Inputs!$D$85</f>
        <v>multiplicador</v>
      </c>
      <c r="D76" s="15" t="str">
        <f aca="false">Inputs!$E$85</f>
        <v>SUPUESTO</v>
      </c>
      <c r="E76" s="15" t="str">
        <f aca="false">Inputs!$F$85</f>
        <v>Etapa 10</v>
      </c>
      <c r="F76" s="15" t="str">
        <f aca="false">Inputs!$G$85</f>
        <v>Editable para análisis de riesgo.</v>
      </c>
    </row>
    <row r="77" customFormat="false" ht="12.8" hidden="false" customHeight="false" outlineLevel="0" collapsed="false">
      <c r="A77" s="18" t="str">
        <f aca="false">Inputs!$B$86</f>
        <v>Sensibilidad: volumen bajo</v>
      </c>
      <c r="B77" s="67" t="n">
        <f aca="false">Inputs!$C$86</f>
        <v>0.8</v>
      </c>
      <c r="C77" s="18" t="str">
        <f aca="false">Inputs!$D$86</f>
        <v>multiplicador</v>
      </c>
      <c r="D77" s="18" t="str">
        <f aca="false">Inputs!$E$86</f>
        <v>SUPUESTO</v>
      </c>
      <c r="E77" s="18" t="str">
        <f aca="false">Inputs!$F$86</f>
        <v>Etapa 10</v>
      </c>
      <c r="F77" s="18" t="str">
        <f aca="false">Inputs!$G$86</f>
        <v>Editable para análisis de riesgo.</v>
      </c>
    </row>
    <row r="78" customFormat="false" ht="12.8" hidden="false" customHeight="false" outlineLevel="0" collapsed="false">
      <c r="A78" s="15" t="str">
        <f aca="false">Inputs!$B$87</f>
        <v>Sensibilidad: volumen alto</v>
      </c>
      <c r="B78" s="66" t="n">
        <f aca="false">Inputs!$C$87</f>
        <v>1.2</v>
      </c>
      <c r="C78" s="15" t="str">
        <f aca="false">Inputs!$D$87</f>
        <v>multiplicador</v>
      </c>
      <c r="D78" s="15" t="str">
        <f aca="false">Inputs!$E$87</f>
        <v>SUPUESTO</v>
      </c>
      <c r="E78" s="15" t="str">
        <f aca="false">Inputs!$F$87</f>
        <v>Etapa 10</v>
      </c>
      <c r="F78" s="15" t="str">
        <f aca="false">Inputs!$G$87</f>
        <v>Editable para análisis de riesgo.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G6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62"/>
    <col collapsed="false" customWidth="true" hidden="false" outlineLevel="0" max="7" min="2" style="0" width="15.32"/>
  </cols>
  <sheetData>
    <row r="1" customFormat="false" ht="25.5" hidden="false" customHeight="true" outlineLevel="0" collapsed="false">
      <c r="A1" s="1" t="s">
        <v>278</v>
      </c>
      <c r="B1" s="1"/>
      <c r="C1" s="1"/>
      <c r="D1" s="1"/>
      <c r="E1" s="1"/>
      <c r="F1" s="1"/>
      <c r="G1" s="1"/>
    </row>
    <row r="2" customFormat="false" ht="18.45" hidden="false" customHeight="true" outlineLevel="0" collapsed="false">
      <c r="A2" s="2" t="s">
        <v>279</v>
      </c>
      <c r="B2" s="2"/>
      <c r="C2" s="2"/>
      <c r="D2" s="2"/>
      <c r="E2" s="2"/>
      <c r="F2" s="2"/>
      <c r="G2" s="2"/>
    </row>
    <row r="4" customFormat="false" ht="12.8" hidden="false" customHeight="false" outlineLevel="0" collapsed="false">
      <c r="A4" s="69" t="s">
        <v>31</v>
      </c>
      <c r="B4" s="69"/>
      <c r="C4" s="69"/>
      <c r="D4" s="69"/>
      <c r="E4" s="69"/>
      <c r="F4" s="69"/>
      <c r="G4" s="69"/>
    </row>
    <row r="5" customFormat="false" ht="12.8" hidden="false" customHeight="false" outlineLevel="0" collapsed="false">
      <c r="A5" s="0" t="s">
        <v>248</v>
      </c>
      <c r="B5" s="70" t="n">
        <f aca="false">IF(Inputs!$C$6="Pesimista",Inputs!$C$69,IF(Inputs!$C$6="Optimista",Inputs!$C$79,Inputs!$C$74))</f>
        <v>1</v>
      </c>
    </row>
    <row r="6" customFormat="false" ht="12.8" hidden="false" customHeight="false" outlineLevel="0" collapsed="false">
      <c r="A6" s="0" t="s">
        <v>247</v>
      </c>
      <c r="B6" s="70" t="n">
        <f aca="false">IF(Inputs!$C$6="Pesimista",Inputs!$C$70,IF(Inputs!$C$6="Optimista",Inputs!$C$80,Inputs!$C$75))</f>
        <v>1</v>
      </c>
    </row>
    <row r="7" customFormat="false" ht="12.8" hidden="false" customHeight="false" outlineLevel="0" collapsed="false">
      <c r="A7" s="0" t="s">
        <v>280</v>
      </c>
      <c r="B7" s="70" t="n">
        <f aca="false">IF(Inputs!$C$6="Pesimista",Inputs!$C$71,IF(Inputs!$C$6="Optimista",Inputs!$C$81,Inputs!$C$76))</f>
        <v>1</v>
      </c>
    </row>
    <row r="8" customFormat="false" ht="12.8" hidden="false" customHeight="false" outlineLevel="0" collapsed="false">
      <c r="A8" s="0" t="s">
        <v>281</v>
      </c>
      <c r="B8" s="70" t="n">
        <f aca="false">IF(Inputs!$C$6="Pesimista",Inputs!$C$72,IF(Inputs!$C$6="Optimista",Inputs!$C$82,Inputs!$C$77))</f>
        <v>1</v>
      </c>
    </row>
    <row r="9" customFormat="false" ht="12.8" hidden="false" customHeight="false" outlineLevel="0" collapsed="false">
      <c r="A9" s="0" t="s">
        <v>282</v>
      </c>
      <c r="B9" s="70" t="n">
        <f aca="false">IF(Inputs!$C$6="Pesimista",Inputs!$C$73,IF(Inputs!$C$6="Optimista",Inputs!$C$83,Inputs!$C$78))</f>
        <v>1</v>
      </c>
    </row>
    <row r="11" customFormat="false" ht="12.8" hidden="false" customHeight="false" outlineLevel="0" collapsed="false">
      <c r="A11" s="0" t="s">
        <v>283</v>
      </c>
      <c r="B11" s="71" t="n">
        <f aca="false">Inputs!$C$52+Inputs!$C$53+Inputs!$C$54+Inputs!$C$55+Inputs!$C$56+Inputs!$C$57+Inputs!$C$58+Inputs!$C$59</f>
        <v>8817795</v>
      </c>
    </row>
    <row r="12" customFormat="false" ht="12.8" hidden="false" customHeight="false" outlineLevel="0" collapsed="false">
      <c r="A12" s="0" t="s">
        <v>284</v>
      </c>
      <c r="B12" s="71" t="n">
        <f aca="false">Calculos!$B$11*Inputs!$C$60</f>
        <v>1322669.25</v>
      </c>
    </row>
    <row r="13" customFormat="false" ht="12.8" hidden="false" customHeight="false" outlineLevel="0" collapsed="false">
      <c r="A13" s="0" t="s">
        <v>285</v>
      </c>
      <c r="B13" s="72" t="n">
        <f aca="false">IF(Inputs!$C$40&gt;0,Inputs!$C$40,Inputs!$C$38*Inputs!$C$39)</f>
        <v>759720</v>
      </c>
    </row>
    <row r="14" customFormat="false" ht="12.8" hidden="false" customHeight="false" outlineLevel="0" collapsed="false">
      <c r="A14" s="0" t="s">
        <v>286</v>
      </c>
      <c r="B14" s="71" t="n">
        <f aca="false">((Inputs!$C$25*Inputs!$C$34+Inputs!$C$26*Inputs!$C$35+Inputs!$C$27*Inputs!$C$36+Inputs!$C$28)*(1+Inputs!$C$32)+Inputs!$C$29+Inputs!$C$30+Inputs!$C$31)</f>
        <v>2652.96256</v>
      </c>
    </row>
    <row r="15" customFormat="false" ht="12.8" hidden="false" customHeight="false" outlineLevel="0" collapsed="false">
      <c r="A15" s="0" t="s">
        <v>287</v>
      </c>
      <c r="B15" s="71" t="n">
        <f aca="false">(Calculos!$B$13+Inputs!$C$41*Inputs!$C$42+Inputs!$C$43+Inputs!$C$44+Inputs!$C$45+Inputs!$C$46+Inputs!$C$47)</f>
        <v>4123720</v>
      </c>
    </row>
    <row r="16" customFormat="false" ht="12.8" hidden="false" customHeight="false" outlineLevel="0" collapsed="false">
      <c r="A16" s="0" t="s">
        <v>288</v>
      </c>
      <c r="B16" s="71" t="n">
        <f aca="false">(Calculos!$B$11+Calculos!$B$12+Inputs!$C$61)*(1+Inputs!$C$64)*Calculos!$B$9</f>
        <v>25461533.8875</v>
      </c>
    </row>
    <row r="17" customFormat="false" ht="12.8" hidden="false" customHeight="false" outlineLevel="0" collapsed="false">
      <c r="A17" s="0" t="s">
        <v>289</v>
      </c>
      <c r="B17" s="71" t="n">
        <f aca="false">Calculos!$B$16+(Inputs!$C$62+Inputs!$C$63)*Calculos!$B$9</f>
        <v>27961533.8875</v>
      </c>
    </row>
    <row r="18" customFormat="false" ht="12.8" hidden="false" customHeight="false" outlineLevel="0" collapsed="false">
      <c r="A18" s="0" t="s">
        <v>290</v>
      </c>
      <c r="B18" s="71" t="n">
        <f aca="false">Calculos!$B$16/Inputs!$C$66</f>
        <v>5092306.7775</v>
      </c>
    </row>
    <row r="19" customFormat="false" ht="12.8" hidden="false" customHeight="false" outlineLevel="0" collapsed="false">
      <c r="A19" s="0" t="s">
        <v>291</v>
      </c>
      <c r="B19" s="71" t="n">
        <f aca="false">Calculos!$B$16*Inputs!$C$67</f>
        <v>2546153.38875</v>
      </c>
    </row>
    <row r="20" customFormat="false" ht="12.8" hidden="false" customHeight="false" outlineLevel="0" collapsed="false">
      <c r="A20" s="0" t="s">
        <v>292</v>
      </c>
      <c r="B20" s="72" t="n">
        <f aca="false">Calculos!$B$13*Inputs!$C$65</f>
        <v>1519440</v>
      </c>
    </row>
    <row r="22" customFormat="false" ht="18.45" hidden="false" customHeight="true" outlineLevel="0" collapsed="false">
      <c r="A22" s="13" t="s">
        <v>226</v>
      </c>
      <c r="B22" s="13" t="s">
        <v>241</v>
      </c>
      <c r="C22" s="13" t="s">
        <v>242</v>
      </c>
      <c r="D22" s="13" t="s">
        <v>243</v>
      </c>
      <c r="E22" s="13" t="s">
        <v>244</v>
      </c>
      <c r="F22" s="13" t="s">
        <v>245</v>
      </c>
      <c r="G22" s="13" t="s">
        <v>246</v>
      </c>
    </row>
    <row r="23" customFormat="false" ht="12.8" hidden="false" customHeight="false" outlineLevel="0" collapsed="false">
      <c r="A23" s="0" t="s">
        <v>247</v>
      </c>
      <c r="C23" s="0" t="n">
        <f aca="false">Inputs!$C$13*Calculos!$B$6</f>
        <v>30000</v>
      </c>
      <c r="D23" s="0" t="n">
        <f aca="false">Inputs!$C$14*Calculos!$B$6</f>
        <v>42000</v>
      </c>
      <c r="E23" s="0" t="n">
        <f aca="false">Inputs!$C$15*Calculos!$B$6</f>
        <v>54000</v>
      </c>
      <c r="F23" s="0" t="n">
        <f aca="false">Inputs!$C$16*Calculos!$B$6</f>
        <v>66000</v>
      </c>
      <c r="G23" s="0" t="n">
        <f aca="false">Inputs!$C$17*Calculos!$B$6</f>
        <v>72000</v>
      </c>
    </row>
    <row r="24" customFormat="false" ht="12.8" hidden="false" customHeight="false" outlineLevel="0" collapsed="false">
      <c r="A24" s="0" t="s">
        <v>293</v>
      </c>
      <c r="C24" s="0" t="n">
        <f aca="false">(1+Inputs!$C$8)^1</f>
        <v>1.03</v>
      </c>
      <c r="D24" s="0" t="n">
        <f aca="false">(1+Inputs!$C$8)^2</f>
        <v>1.0609</v>
      </c>
      <c r="E24" s="0" t="n">
        <f aca="false">(1+Inputs!$C$8)^3</f>
        <v>1.092727</v>
      </c>
      <c r="F24" s="0" t="n">
        <f aca="false">(1+Inputs!$C$8)^4</f>
        <v>1.12550881</v>
      </c>
      <c r="G24" s="0" t="n">
        <f aca="false">(1+Inputs!$C$8)^5</f>
        <v>1.1592740743</v>
      </c>
    </row>
    <row r="25" customFormat="false" ht="12.8" hidden="false" customHeight="false" outlineLevel="0" collapsed="false">
      <c r="A25" s="0" t="s">
        <v>248</v>
      </c>
      <c r="B25" s="72"/>
      <c r="C25" s="71" t="n">
        <f aca="false">Inputs!$C$12*Calculos!$B$5*Calculos!$C$24</f>
        <v>4326</v>
      </c>
      <c r="D25" s="71" t="n">
        <f aca="false">Inputs!$C$12*Calculos!$B$5*Calculos!$D$24</f>
        <v>4455.78</v>
      </c>
      <c r="E25" s="71" t="n">
        <f aca="false">Inputs!$C$12*Calculos!$B$5*Calculos!$E$24</f>
        <v>4589.4534</v>
      </c>
      <c r="F25" s="71" t="n">
        <f aca="false">Inputs!$C$12*Calculos!$B$5*Calculos!$F$24</f>
        <v>4727.137002</v>
      </c>
      <c r="G25" s="71" t="n">
        <f aca="false">Inputs!$C$12*Calculos!$B$5*Calculos!$G$24</f>
        <v>4868.95111206</v>
      </c>
    </row>
    <row r="26" customFormat="false" ht="12.8" hidden="false" customHeight="false" outlineLevel="0" collapsed="false">
      <c r="A26" s="0" t="s">
        <v>294</v>
      </c>
      <c r="B26" s="72"/>
      <c r="C26" s="71" t="n">
        <f aca="false">Calculos!$B$14*Calculos!$B$7*Calculos!$C$24</f>
        <v>2732.5514368</v>
      </c>
      <c r="D26" s="71" t="n">
        <f aca="false">Calculos!$B$14*Calculos!$B$7*Calculos!$D$24</f>
        <v>2814.527979904</v>
      </c>
      <c r="E26" s="71" t="n">
        <f aca="false">Calculos!$B$14*Calculos!$B$7*Calculos!$E$24</f>
        <v>2898.96381930112</v>
      </c>
      <c r="F26" s="71" t="n">
        <f aca="false">Calculos!$B$14*Calculos!$B$7*Calculos!$F$24</f>
        <v>2985.93273388015</v>
      </c>
      <c r="G26" s="71" t="n">
        <f aca="false">Calculos!$B$14*Calculos!$B$7*Calculos!$G$24</f>
        <v>3075.51071589656</v>
      </c>
    </row>
    <row r="27" customFormat="false" ht="12.8" hidden="false" customHeight="false" outlineLevel="0" collapsed="false">
      <c r="A27" s="0" t="s">
        <v>249</v>
      </c>
      <c r="B27" s="72"/>
      <c r="C27" s="71" t="n">
        <f aca="false">Calculos!$C$23*Calculos!$C$25</f>
        <v>129780000</v>
      </c>
      <c r="D27" s="71" t="n">
        <f aca="false">Calculos!$D$23*Calculos!$D$25</f>
        <v>187142760</v>
      </c>
      <c r="E27" s="71" t="n">
        <f aca="false">Calculos!$E$23*Calculos!$E$25</f>
        <v>247830483.6</v>
      </c>
      <c r="F27" s="71" t="n">
        <f aca="false">Calculos!$F$23*Calculos!$F$25</f>
        <v>311991042.132</v>
      </c>
      <c r="G27" s="71" t="n">
        <f aca="false">Calculos!$G$23*Calculos!$G$25</f>
        <v>350564480.06832</v>
      </c>
    </row>
    <row r="28" customFormat="false" ht="12.8" hidden="false" customHeight="false" outlineLevel="0" collapsed="false">
      <c r="A28" s="0" t="s">
        <v>250</v>
      </c>
      <c r="B28" s="72"/>
      <c r="C28" s="71" t="n">
        <f aca="false">Calculos!$C$23*Calculos!$C$26</f>
        <v>81976543.104</v>
      </c>
      <c r="D28" s="71" t="n">
        <f aca="false">Calculos!$D$23*Calculos!$D$26</f>
        <v>118210175.155968</v>
      </c>
      <c r="E28" s="71" t="n">
        <f aca="false">Calculos!$E$23*Calculos!$E$26</f>
        <v>156544046.242261</v>
      </c>
      <c r="F28" s="71" t="n">
        <f aca="false">Calculos!$F$23*Calculos!$F$26</f>
        <v>197071560.43609</v>
      </c>
      <c r="G28" s="71" t="n">
        <f aca="false">Calculos!$G$23*Calculos!$G$26</f>
        <v>221436771.544552</v>
      </c>
    </row>
    <row r="29" customFormat="false" ht="12.8" hidden="false" customHeight="false" outlineLevel="0" collapsed="false">
      <c r="A29" s="0" t="s">
        <v>251</v>
      </c>
      <c r="B29" s="72"/>
      <c r="C29" s="71" t="n">
        <f aca="false">Calculos!$B$15*12*Calculos!$B$8*Calculos!$C$24</f>
        <v>50969179.2</v>
      </c>
      <c r="D29" s="71" t="n">
        <f aca="false">Calculos!$B$15*12*Calculos!$B$8*Calculos!$D$24</f>
        <v>52498254.576</v>
      </c>
      <c r="E29" s="71" t="n">
        <f aca="false">Calculos!$B$15*12*Calculos!$B$8*Calculos!$E$24</f>
        <v>54073202.21328</v>
      </c>
      <c r="F29" s="71" t="n">
        <f aca="false">Calculos!$B$15*12*Calculos!$B$8*Calculos!$F$24</f>
        <v>55695398.2796784</v>
      </c>
      <c r="G29" s="71" t="n">
        <f aca="false">Calculos!$B$15*12*Calculos!$B$8*Calculos!$G$24</f>
        <v>57366260.2280688</v>
      </c>
    </row>
    <row r="30" customFormat="false" ht="12.8" hidden="false" customHeight="false" outlineLevel="0" collapsed="false">
      <c r="A30" s="0" t="s">
        <v>252</v>
      </c>
      <c r="B30" s="72"/>
      <c r="C30" s="71" t="n">
        <f aca="false">Calculos!$C$27-Calculos!$C$28-Calculos!$C$29</f>
        <v>-3165722.30400001</v>
      </c>
      <c r="D30" s="71" t="n">
        <f aca="false">Calculos!$D$27-Calculos!$D$28-Calculos!$D$29</f>
        <v>16434330.268032</v>
      </c>
      <c r="E30" s="71" t="n">
        <f aca="false">Calculos!$E$27-Calculos!$E$28-Calculos!$E$29</f>
        <v>37213235.1444595</v>
      </c>
      <c r="F30" s="71" t="n">
        <f aca="false">Calculos!$F$27-Calculos!$F$28-Calculos!$F$29</f>
        <v>59224083.4162315</v>
      </c>
      <c r="G30" s="71" t="n">
        <f aca="false">Calculos!$G$27-Calculos!$G$28-Calculos!$G$29</f>
        <v>71761448.295699</v>
      </c>
    </row>
    <row r="31" customFormat="false" ht="12.8" hidden="false" customHeight="false" outlineLevel="0" collapsed="false">
      <c r="A31" s="0" t="s">
        <v>253</v>
      </c>
      <c r="B31" s="72"/>
      <c r="C31" s="71" t="n">
        <f aca="false">Calculos!$B$18</f>
        <v>5092306.7775</v>
      </c>
      <c r="D31" s="71" t="n">
        <f aca="false">Calculos!$B$18</f>
        <v>5092306.7775</v>
      </c>
      <c r="E31" s="71" t="n">
        <f aca="false">Calculos!$B$18</f>
        <v>5092306.7775</v>
      </c>
      <c r="F31" s="71" t="n">
        <f aca="false">Calculos!$B$18</f>
        <v>5092306.7775</v>
      </c>
      <c r="G31" s="71" t="n">
        <f aca="false">Calculos!$B$18</f>
        <v>5092306.7775</v>
      </c>
    </row>
    <row r="32" customFormat="false" ht="12.8" hidden="false" customHeight="false" outlineLevel="0" collapsed="false">
      <c r="A32" s="0" t="s">
        <v>254</v>
      </c>
      <c r="B32" s="72"/>
      <c r="C32" s="71" t="n">
        <f aca="false">Calculos!$C$30-Calculos!$C$31</f>
        <v>-8258029.08150001</v>
      </c>
      <c r="D32" s="71" t="n">
        <f aca="false">Calculos!$D$30-Calculos!$D$31</f>
        <v>11342023.490532</v>
      </c>
      <c r="E32" s="71" t="n">
        <f aca="false">Calculos!$E$30-Calculos!$E$31</f>
        <v>32120928.3669595</v>
      </c>
      <c r="F32" s="71" t="n">
        <f aca="false">Calculos!$F$30-Calculos!$F$31</f>
        <v>54131776.6387315</v>
      </c>
      <c r="G32" s="71" t="n">
        <f aca="false">Calculos!$G$30-Calculos!$G$31</f>
        <v>66669141.518199</v>
      </c>
    </row>
    <row r="33" customFormat="false" ht="12.8" hidden="false" customHeight="false" outlineLevel="0" collapsed="false">
      <c r="A33" s="0" t="s">
        <v>255</v>
      </c>
      <c r="B33" s="72"/>
      <c r="C33" s="72" t="n">
        <f aca="false">0</f>
        <v>0</v>
      </c>
      <c r="D33" s="72" t="n">
        <f aca="false">Calculos!$C$36</f>
        <v>8258029.08150001</v>
      </c>
      <c r="E33" s="72" t="n">
        <f aca="false">Calculos!$D$36</f>
        <v>0</v>
      </c>
      <c r="F33" s="72" t="n">
        <f aca="false">Calculos!$E$36</f>
        <v>0</v>
      </c>
      <c r="G33" s="72" t="n">
        <f aca="false">Calculos!$F$36</f>
        <v>0</v>
      </c>
    </row>
    <row r="34" customFormat="false" ht="12.8" hidden="false" customHeight="false" outlineLevel="0" collapsed="false">
      <c r="A34" s="0" t="s">
        <v>256</v>
      </c>
      <c r="B34" s="72"/>
      <c r="C34" s="72" t="n">
        <f aca="false">MAX(0,Calculos!$C$32-Calculos!$C$33)</f>
        <v>0</v>
      </c>
      <c r="D34" s="72" t="n">
        <f aca="false">MAX(0,Calculos!$D$32-Calculos!$D$33)</f>
        <v>3083994.409032</v>
      </c>
      <c r="E34" s="72" t="n">
        <f aca="false">MAX(0,Calculos!$E$32-Calculos!$E$33)</f>
        <v>32120928.3669595</v>
      </c>
      <c r="F34" s="72" t="n">
        <f aca="false">MAX(0,Calculos!$F$32-Calculos!$F$33)</f>
        <v>54131776.6387315</v>
      </c>
      <c r="G34" s="72" t="n">
        <f aca="false">MAX(0,Calculos!$G$32-Calculos!$G$33)</f>
        <v>66669141.518199</v>
      </c>
    </row>
    <row r="35" customFormat="false" ht="12.8" hidden="false" customHeight="false" outlineLevel="0" collapsed="false">
      <c r="A35" s="0" t="s">
        <v>257</v>
      </c>
      <c r="B35" s="72"/>
      <c r="C35" s="72" t="n">
        <f aca="false">Calculos!$C$34*Inputs!$C$19</f>
        <v>0</v>
      </c>
      <c r="D35" s="72" t="n">
        <f aca="false">Calculos!$D$34*Inputs!$C$20</f>
        <v>462599.1613548</v>
      </c>
      <c r="E35" s="72" t="n">
        <f aca="false">Calculos!$E$34*Inputs!$C$21</f>
        <v>8030232.09173989</v>
      </c>
      <c r="F35" s="72" t="n">
        <f aca="false">Calculos!$F$34*Inputs!$C$22</f>
        <v>13532944.1596829</v>
      </c>
      <c r="G35" s="72" t="n">
        <f aca="false">Calculos!$G$34*Inputs!$C$23</f>
        <v>16667285.3795498</v>
      </c>
    </row>
    <row r="36" customFormat="false" ht="12.8" hidden="false" customHeight="false" outlineLevel="0" collapsed="false">
      <c r="A36" s="0" t="s">
        <v>258</v>
      </c>
      <c r="B36" s="72"/>
      <c r="C36" s="72" t="n">
        <f aca="false">MAX(0,Calculos!$C$33-Calculos!$C$32)</f>
        <v>8258029.08150001</v>
      </c>
      <c r="D36" s="72" t="n">
        <f aca="false">MAX(0,Calculos!$D$33-Calculos!$D$32)</f>
        <v>0</v>
      </c>
      <c r="E36" s="72" t="n">
        <f aca="false">MAX(0,Calculos!$E$33-Calculos!$E$32)</f>
        <v>0</v>
      </c>
      <c r="F36" s="72" t="n">
        <f aca="false">MAX(0,Calculos!$F$33-Calculos!$F$32)</f>
        <v>0</v>
      </c>
      <c r="G36" s="72" t="n">
        <f aca="false">MAX(0,Calculos!$G$33-Calculos!$G$32)</f>
        <v>0</v>
      </c>
    </row>
    <row r="37" customFormat="false" ht="12.8" hidden="false" customHeight="false" outlineLevel="0" collapsed="false">
      <c r="A37" s="0" t="s">
        <v>259</v>
      </c>
      <c r="B37" s="72"/>
      <c r="C37" s="71" t="n">
        <f aca="false">Calculos!$C$27*Inputs!$C$48/365+Calculos!$C$28*Inputs!$C$49/365-Calculos!$C$28*Inputs!$C$50/365</f>
        <v>14035748.3467397</v>
      </c>
      <c r="D37" s="71" t="n">
        <f aca="false">Calculos!$D$27*Inputs!$C$48/365+Calculos!$D$28*Inputs!$C$49/365-Calculos!$D$28*Inputs!$C$50/365</f>
        <v>20239549.1159987</v>
      </c>
      <c r="E37" s="71" t="n">
        <f aca="false">Calculos!$E$27*Inputs!$C$48/365+Calculos!$E$28*Inputs!$C$49/365-Calculos!$E$28*Inputs!$C$50/365</f>
        <v>26802945.7579011</v>
      </c>
      <c r="F37" s="71" t="n">
        <f aca="false">Calculos!$F$27*Inputs!$C$48/365+Calculos!$F$28*Inputs!$C$49/365-Calculos!$F$28*Inputs!$C$50/365</f>
        <v>33741930.6041133</v>
      </c>
      <c r="G37" s="71" t="n">
        <f aca="false">Calculos!$G$27*Inputs!$C$48/365+Calculos!$G$28*Inputs!$C$49/365-Calculos!$G$28*Inputs!$C$50/365</f>
        <v>37913660.2060764</v>
      </c>
    </row>
    <row r="38" customFormat="false" ht="12.8" hidden="false" customHeight="false" outlineLevel="0" collapsed="false">
      <c r="A38" s="0" t="s">
        <v>260</v>
      </c>
      <c r="B38" s="72"/>
      <c r="C38" s="71" t="n">
        <f aca="false">Calculos!$C$37-Calculos!$C$37</f>
        <v>0</v>
      </c>
      <c r="D38" s="71" t="n">
        <f aca="false">Calculos!$D$37-Calculos!$C$37</f>
        <v>6203800.76925896</v>
      </c>
      <c r="E38" s="71" t="n">
        <f aca="false">Calculos!$E$37-Calculos!$D$37</f>
        <v>6563396.64190243</v>
      </c>
      <c r="F38" s="71" t="n">
        <f aca="false">Calculos!$F$37-Calculos!$E$37</f>
        <v>6938984.84621218</v>
      </c>
      <c r="G38" s="71" t="n">
        <f aca="false">Calculos!$G$37-Calculos!$F$37</f>
        <v>4171729.6019631</v>
      </c>
    </row>
    <row r="39" customFormat="false" ht="12.8" hidden="false" customHeight="false" outlineLevel="0" collapsed="false">
      <c r="A39" s="0" t="s">
        <v>261</v>
      </c>
      <c r="B39" s="72"/>
      <c r="C39" s="72" t="n">
        <f aca="false">0</f>
        <v>0</v>
      </c>
      <c r="D39" s="72" t="n">
        <f aca="false">0</f>
        <v>0</v>
      </c>
      <c r="E39" s="72" t="n">
        <f aca="false">0</f>
        <v>0</v>
      </c>
      <c r="F39" s="72" t="n">
        <f aca="false">0</f>
        <v>0</v>
      </c>
      <c r="G39" s="71" t="n">
        <f aca="false">Calculos!$B$19*(1-Inputs!$C$23)+Calculos!$G$37+Calculos!$B$20</f>
        <v>41342715.2476389</v>
      </c>
    </row>
    <row r="40" customFormat="false" ht="12.8" hidden="false" customHeight="false" outlineLevel="0" collapsed="false">
      <c r="A40" s="0" t="s">
        <v>262</v>
      </c>
      <c r="B40" s="71" t="n">
        <f aca="false">-(Calculos!$B$17+Calculos!$B$20+Calculos!$C$37)</f>
        <v>-43516722.2342397</v>
      </c>
      <c r="C40" s="71" t="n">
        <f aca="false">Calculos!$C$30-Calculos!$C$35-Calculos!$C$38+Calculos!$C$39</f>
        <v>-3165722.30400001</v>
      </c>
      <c r="D40" s="71" t="n">
        <f aca="false">Calculos!$D$30-Calculos!$D$35-Calculos!$D$38+Calculos!$D$39</f>
        <v>9767930.33741825</v>
      </c>
      <c r="E40" s="71" t="n">
        <f aca="false">Calculos!$E$30-Calculos!$E$35-Calculos!$E$38+Calculos!$E$39</f>
        <v>22619606.4108172</v>
      </c>
      <c r="F40" s="71" t="n">
        <f aca="false">Calculos!$F$30-Calculos!$F$35-Calculos!$F$38+Calculos!$F$39</f>
        <v>38752154.4103364</v>
      </c>
      <c r="G40" s="71" t="n">
        <f aca="false">Calculos!$G$30-Calculos!$G$35-Calculos!$G$38+Calculos!$G$39</f>
        <v>92265148.5618251</v>
      </c>
    </row>
    <row r="41" customFormat="false" ht="12.8" hidden="false" customHeight="false" outlineLevel="0" collapsed="false">
      <c r="A41" s="0" t="s">
        <v>263</v>
      </c>
      <c r="B41" s="72" t="n">
        <v>1</v>
      </c>
      <c r="C41" s="72" t="n">
        <f aca="false">1/(1+Inputs!$C$7)^1</f>
        <v>0.869565217391304</v>
      </c>
      <c r="D41" s="72" t="n">
        <f aca="false">1/(1+Inputs!$C$7)^2</f>
        <v>0.756143667296787</v>
      </c>
      <c r="E41" s="72" t="n">
        <f aca="false">1/(1+Inputs!$C$7)^3</f>
        <v>0.657516232431988</v>
      </c>
      <c r="F41" s="72" t="n">
        <f aca="false">1/(1+Inputs!$C$7)^4</f>
        <v>0.571753245593033</v>
      </c>
      <c r="G41" s="72" t="n">
        <f aca="false">1/(1+Inputs!$C$7)^5</f>
        <v>0.49717673529829</v>
      </c>
    </row>
    <row r="42" customFormat="false" ht="12.8" hidden="false" customHeight="false" outlineLevel="0" collapsed="false">
      <c r="A42" s="0" t="s">
        <v>264</v>
      </c>
      <c r="B42" s="71" t="n">
        <f aca="false">Calculos!$B$40</f>
        <v>-43516722.2342397</v>
      </c>
      <c r="C42" s="71" t="n">
        <f aca="false">Calculos!$C$40*Calculos!$C$41</f>
        <v>-2752802.00347827</v>
      </c>
      <c r="D42" s="71" t="n">
        <f aca="false">Calculos!$D$40*Calculos!$D$41</f>
        <v>7385958.66723497</v>
      </c>
      <c r="E42" s="71" t="n">
        <f aca="false">Calculos!$E$40*Calculos!$E$41</f>
        <v>14872758.386335</v>
      </c>
      <c r="F42" s="71" t="n">
        <f aca="false">Calculos!$F$40*Calculos!$F$41</f>
        <v>22156670.0578322</v>
      </c>
      <c r="G42" s="71" t="n">
        <f aca="false">Calculos!$G$40*Calculos!$G$41</f>
        <v>45872085.3437799</v>
      </c>
    </row>
    <row r="43" customFormat="false" ht="12.8" hidden="false" customHeight="false" outlineLevel="0" collapsed="false">
      <c r="A43" s="0" t="s">
        <v>265</v>
      </c>
      <c r="B43" s="71" t="n">
        <f aca="false">Calculos!$B$40</f>
        <v>-43516722.2342397</v>
      </c>
      <c r="C43" s="71" t="n">
        <f aca="false">Calculos!$B$43+Calculos!$C$40</f>
        <v>-46682444.5382397</v>
      </c>
      <c r="D43" s="71" t="n">
        <f aca="false">Calculos!$C$43+Calculos!$D$40</f>
        <v>-36914514.2008215</v>
      </c>
      <c r="E43" s="71" t="n">
        <f aca="false">Calculos!$D$43+Calculos!$E$40</f>
        <v>-14294907.7900043</v>
      </c>
      <c r="F43" s="71" t="n">
        <f aca="false">Calculos!$E$43+Calculos!$F$40</f>
        <v>24457246.6203321</v>
      </c>
      <c r="G43" s="71" t="n">
        <f aca="false">Calculos!$F$43+Calculos!$G$40</f>
        <v>116722395.182157</v>
      </c>
    </row>
    <row r="44" customFormat="false" ht="12.8" hidden="false" customHeight="false" outlineLevel="0" collapsed="false">
      <c r="A44" s="0" t="s">
        <v>266</v>
      </c>
      <c r="B44" s="71" t="n">
        <f aca="false">Calculos!$B$42</f>
        <v>-43516722.2342397</v>
      </c>
      <c r="C44" s="71" t="n">
        <f aca="false">Calculos!$B$44+Calculos!$C$42</f>
        <v>-46269524.237718</v>
      </c>
      <c r="D44" s="71" t="n">
        <f aca="false">Calculos!$C$44+Calculos!$D$42</f>
        <v>-38883565.570483</v>
      </c>
      <c r="E44" s="71" t="n">
        <f aca="false">Calculos!$D$44+Calculos!$E$42</f>
        <v>-24010807.184148</v>
      </c>
      <c r="F44" s="71" t="n">
        <f aca="false">Calculos!$E$44+Calculos!$F$42</f>
        <v>-1854137.1263158</v>
      </c>
      <c r="G44" s="71" t="n">
        <f aca="false">Calculos!$F$44+Calculos!$G$42</f>
        <v>44017948.2174641</v>
      </c>
    </row>
    <row r="46" customFormat="false" ht="12.8" hidden="false" customHeight="false" outlineLevel="0" collapsed="false">
      <c r="A46" s="0" t="s">
        <v>3</v>
      </c>
      <c r="B46" s="72" t="n">
        <f aca="false">-Calculos!$B$40</f>
        <v>43516722.2342397</v>
      </c>
    </row>
    <row r="47" customFormat="false" ht="12.8" hidden="false" customHeight="false" outlineLevel="0" collapsed="false">
      <c r="A47" s="0" t="s">
        <v>7</v>
      </c>
      <c r="B47" s="71" t="n">
        <f aca="false">SUM(Calculos!$B$42:$G$42)</f>
        <v>44017948.2174641</v>
      </c>
    </row>
    <row r="48" customFormat="false" ht="12.8" hidden="false" customHeight="false" outlineLevel="0" collapsed="false">
      <c r="A48" s="0" t="s">
        <v>9</v>
      </c>
      <c r="B48" s="73" t="n">
        <f aca="false">IFERROR(IRR(Calculos!$B$40:$G$40),-1)</f>
        <v>0.356896565571158</v>
      </c>
    </row>
    <row r="49" customFormat="false" ht="12.8" hidden="false" customHeight="false" outlineLevel="0" collapsed="false">
      <c r="A49" s="0" t="s">
        <v>10</v>
      </c>
      <c r="B49" s="0" t="n">
        <f aca="false">IFERROR(IF(Calculos!$C$44&gt;=0,0+(-Calculos!$B$44/Calculos!$C$42),IF(Calculos!$D$44&gt;=0,1+(-Calculos!$C$44/Calculos!$D$42),IF(Calculos!$E$44&gt;=0,2+(-Calculos!$D$44/Calculos!$E$42),IF(Calculos!$F$44&gt;=0,3+(-Calculos!$E$44/Calculos!$F$42),IF(Calculos!$G$44&gt;=0,4+(-Calculos!$F$44/Calculos!$G$42),NA()))))),99)</f>
        <v>4.04041972612364</v>
      </c>
    </row>
    <row r="50" customFormat="false" ht="12.8" hidden="false" customHeight="false" outlineLevel="0" collapsed="false">
      <c r="A50" s="0" t="s">
        <v>12</v>
      </c>
      <c r="B50" s="0" t="n">
        <f aca="false">(Calculos!$C$42+Calculos!$D$42+Calculos!$E$42+Calculos!$F$42+Calculos!$G$42)/(-Calculos!$B$40)</f>
        <v>2.01151800865254</v>
      </c>
    </row>
    <row r="51" customFormat="false" ht="12.8" hidden="false" customHeight="false" outlineLevel="0" collapsed="false">
      <c r="A51" s="0" t="s">
        <v>5</v>
      </c>
      <c r="B51" s="71" t="n">
        <f aca="false">-MIN(Calculos!$B$43:$G$43)</f>
        <v>46682444.5382397</v>
      </c>
    </row>
    <row r="52" customFormat="false" ht="12.8" hidden="false" customHeight="false" outlineLevel="0" collapsed="false">
      <c r="A52" s="0" t="s">
        <v>13</v>
      </c>
      <c r="B52" s="0" t="n">
        <f aca="false">IF((Calculos!$C$25-Calculos!$C$26)&gt;0,Calculos!$C$29/(Calculos!$C$25-Calculos!$C$26)/12,NA())</f>
        <v>2665.5592769623</v>
      </c>
    </row>
    <row r="55" customFormat="false" ht="12.8" hidden="false" customHeight="false" outlineLevel="0" collapsed="false">
      <c r="A55" s="69" t="s">
        <v>295</v>
      </c>
      <c r="B55" s="69"/>
      <c r="C55" s="69"/>
      <c r="D55" s="69"/>
      <c r="E55" s="69"/>
      <c r="F55" s="69"/>
      <c r="G55" s="69"/>
    </row>
    <row r="56" customFormat="false" ht="12.8" hidden="false" customHeight="false" outlineLevel="0" collapsed="false">
      <c r="A56" s="0" t="s">
        <v>248</v>
      </c>
      <c r="B56" s="74" t="n">
        <f aca="false">Inputs!$C$69</f>
        <v>0.9</v>
      </c>
    </row>
    <row r="57" customFormat="false" ht="12.8" hidden="false" customHeight="false" outlineLevel="0" collapsed="false">
      <c r="A57" s="0" t="s">
        <v>247</v>
      </c>
      <c r="B57" s="74" t="n">
        <f aca="false">Inputs!$C$70</f>
        <v>0.8</v>
      </c>
    </row>
    <row r="58" customFormat="false" ht="12.8" hidden="false" customHeight="false" outlineLevel="0" collapsed="false">
      <c r="A58" s="0" t="s">
        <v>280</v>
      </c>
      <c r="B58" s="74" t="n">
        <f aca="false">Inputs!$C$71</f>
        <v>1.1</v>
      </c>
    </row>
    <row r="59" customFormat="false" ht="12.8" hidden="false" customHeight="false" outlineLevel="0" collapsed="false">
      <c r="A59" s="0" t="s">
        <v>281</v>
      </c>
      <c r="B59" s="74" t="n">
        <f aca="false">Inputs!$C$72</f>
        <v>1.1</v>
      </c>
    </row>
    <row r="60" customFormat="false" ht="12.8" hidden="false" customHeight="false" outlineLevel="0" collapsed="false">
      <c r="A60" s="0" t="s">
        <v>282</v>
      </c>
      <c r="B60" s="74" t="n">
        <f aca="false">Inputs!$C$73</f>
        <v>1.15</v>
      </c>
    </row>
    <row r="62" customFormat="false" ht="12.8" hidden="false" customHeight="false" outlineLevel="0" collapsed="false">
      <c r="A62" s="0" t="s">
        <v>283</v>
      </c>
      <c r="B62" s="71" t="n">
        <f aca="false">Inputs!$C$52+Inputs!$C$53+Inputs!$C$54+Inputs!$C$55+Inputs!$C$56+Inputs!$C$57+Inputs!$C$58+Inputs!$C$59</f>
        <v>8817795</v>
      </c>
    </row>
    <row r="63" customFormat="false" ht="12.8" hidden="false" customHeight="false" outlineLevel="0" collapsed="false">
      <c r="A63" s="0" t="s">
        <v>284</v>
      </c>
      <c r="B63" s="71" t="n">
        <f aca="false">Calculos!$B$62*Inputs!$C$60</f>
        <v>1322669.25</v>
      </c>
    </row>
    <row r="64" customFormat="false" ht="12.8" hidden="false" customHeight="false" outlineLevel="0" collapsed="false">
      <c r="A64" s="0" t="s">
        <v>285</v>
      </c>
      <c r="B64" s="72" t="n">
        <f aca="false">IF(Inputs!$C$40&gt;0,Inputs!$C$40,Inputs!$C$38*Inputs!$C$39)</f>
        <v>759720</v>
      </c>
    </row>
    <row r="65" customFormat="false" ht="12.8" hidden="false" customHeight="false" outlineLevel="0" collapsed="false">
      <c r="A65" s="0" t="s">
        <v>286</v>
      </c>
      <c r="B65" s="71" t="n">
        <f aca="false">((Inputs!$C$25*Inputs!$C$34+Inputs!$C$26*Inputs!$C$35+Inputs!$C$27*Inputs!$C$36+Inputs!$C$28)*(1+Inputs!$C$32)+Inputs!$C$29+Inputs!$C$30+Inputs!$C$31)</f>
        <v>2652.96256</v>
      </c>
    </row>
    <row r="66" customFormat="false" ht="12.8" hidden="false" customHeight="false" outlineLevel="0" collapsed="false">
      <c r="A66" s="0" t="s">
        <v>287</v>
      </c>
      <c r="B66" s="71" t="n">
        <f aca="false">(Calculos!$B$64+Inputs!$C$41*Inputs!$C$42+Inputs!$C$43+Inputs!$C$44+Inputs!$C$45+Inputs!$C$46+Inputs!$C$47)</f>
        <v>4123720</v>
      </c>
    </row>
    <row r="67" customFormat="false" ht="12.8" hidden="false" customHeight="false" outlineLevel="0" collapsed="false">
      <c r="A67" s="0" t="s">
        <v>288</v>
      </c>
      <c r="B67" s="71" t="n">
        <f aca="false">(Calculos!$B$62+Calculos!$B$63+Inputs!$C$61)*(1+Inputs!$C$64)*Calculos!$B$60</f>
        <v>29280763.970625</v>
      </c>
    </row>
    <row r="68" customFormat="false" ht="12.8" hidden="false" customHeight="false" outlineLevel="0" collapsed="false">
      <c r="A68" s="0" t="s">
        <v>289</v>
      </c>
      <c r="B68" s="71" t="n">
        <f aca="false">Calculos!$B$67+(Inputs!$C$62+Inputs!$C$63)*Calculos!$B$60</f>
        <v>32155763.970625</v>
      </c>
    </row>
    <row r="69" customFormat="false" ht="12.8" hidden="false" customHeight="false" outlineLevel="0" collapsed="false">
      <c r="A69" s="0" t="s">
        <v>290</v>
      </c>
      <c r="B69" s="71" t="n">
        <f aca="false">Calculos!$B$67/Inputs!$C$66</f>
        <v>5856152.794125</v>
      </c>
    </row>
    <row r="70" customFormat="false" ht="12.8" hidden="false" customHeight="false" outlineLevel="0" collapsed="false">
      <c r="A70" s="0" t="s">
        <v>291</v>
      </c>
      <c r="B70" s="71" t="n">
        <f aca="false">Calculos!$B$67*Inputs!$C$67</f>
        <v>2928076.3970625</v>
      </c>
    </row>
    <row r="71" customFormat="false" ht="12.8" hidden="false" customHeight="false" outlineLevel="0" collapsed="false">
      <c r="A71" s="0" t="s">
        <v>292</v>
      </c>
      <c r="B71" s="72" t="n">
        <f aca="false">Calculos!$B$64*Inputs!$C$65</f>
        <v>1519440</v>
      </c>
    </row>
    <row r="73" customFormat="false" ht="18.45" hidden="false" customHeight="true" outlineLevel="0" collapsed="false">
      <c r="A73" s="13" t="s">
        <v>226</v>
      </c>
      <c r="B73" s="13" t="s">
        <v>241</v>
      </c>
      <c r="C73" s="13" t="s">
        <v>242</v>
      </c>
      <c r="D73" s="13" t="s">
        <v>243</v>
      </c>
      <c r="E73" s="13" t="s">
        <v>244</v>
      </c>
      <c r="F73" s="13" t="s">
        <v>245</v>
      </c>
      <c r="G73" s="13" t="s">
        <v>246</v>
      </c>
    </row>
    <row r="74" customFormat="false" ht="12.8" hidden="false" customHeight="false" outlineLevel="0" collapsed="false">
      <c r="A74" s="0" t="s">
        <v>247</v>
      </c>
      <c r="C74" s="0" t="n">
        <f aca="false">Inputs!$C$13*Calculos!$B$57</f>
        <v>24000</v>
      </c>
      <c r="D74" s="0" t="n">
        <f aca="false">Inputs!$C$14*Calculos!$B$57</f>
        <v>33600</v>
      </c>
      <c r="E74" s="0" t="n">
        <f aca="false">Inputs!$C$15*Calculos!$B$57</f>
        <v>43200</v>
      </c>
      <c r="F74" s="0" t="n">
        <f aca="false">Inputs!$C$16*Calculos!$B$57</f>
        <v>52800</v>
      </c>
      <c r="G74" s="0" t="n">
        <f aca="false">Inputs!$C$17*Calculos!$B$57</f>
        <v>57600</v>
      </c>
    </row>
    <row r="75" customFormat="false" ht="12.8" hidden="false" customHeight="false" outlineLevel="0" collapsed="false">
      <c r="A75" s="0" t="s">
        <v>293</v>
      </c>
      <c r="C75" s="0" t="n">
        <f aca="false">(1+Inputs!$C$8)^1</f>
        <v>1.03</v>
      </c>
      <c r="D75" s="0" t="n">
        <f aca="false">(1+Inputs!$C$8)^2</f>
        <v>1.0609</v>
      </c>
      <c r="E75" s="0" t="n">
        <f aca="false">(1+Inputs!$C$8)^3</f>
        <v>1.092727</v>
      </c>
      <c r="F75" s="0" t="n">
        <f aca="false">(1+Inputs!$C$8)^4</f>
        <v>1.12550881</v>
      </c>
      <c r="G75" s="0" t="n">
        <f aca="false">(1+Inputs!$C$8)^5</f>
        <v>1.1592740743</v>
      </c>
    </row>
    <row r="76" customFormat="false" ht="12.8" hidden="false" customHeight="false" outlineLevel="0" collapsed="false">
      <c r="A76" s="0" t="s">
        <v>248</v>
      </c>
      <c r="B76" s="72"/>
      <c r="C76" s="71" t="n">
        <f aca="false">Inputs!$C$12*Calculos!$B$56*Calculos!$C$75</f>
        <v>3893.4</v>
      </c>
      <c r="D76" s="71" t="n">
        <f aca="false">Inputs!$C$12*Calculos!$B$56*Calculos!$D$75</f>
        <v>4010.202</v>
      </c>
      <c r="E76" s="71" t="n">
        <f aca="false">Inputs!$C$12*Calculos!$B$56*Calculos!$E$75</f>
        <v>4130.50806</v>
      </c>
      <c r="F76" s="71" t="n">
        <f aca="false">Inputs!$C$12*Calculos!$B$56*Calculos!$F$75</f>
        <v>4254.4233018</v>
      </c>
      <c r="G76" s="71" t="n">
        <f aca="false">Inputs!$C$12*Calculos!$B$56*Calculos!$G$75</f>
        <v>4382.056000854</v>
      </c>
    </row>
    <row r="77" customFormat="false" ht="12.8" hidden="false" customHeight="false" outlineLevel="0" collapsed="false">
      <c r="A77" s="0" t="s">
        <v>294</v>
      </c>
      <c r="B77" s="72"/>
      <c r="C77" s="71" t="n">
        <f aca="false">Calculos!$B$65*Calculos!$B$58*Calculos!$C$75</f>
        <v>3005.80658048</v>
      </c>
      <c r="D77" s="71" t="n">
        <f aca="false">Calculos!$B$65*Calculos!$B$58*Calculos!$D$75</f>
        <v>3095.9807778944</v>
      </c>
      <c r="E77" s="71" t="n">
        <f aca="false">Calculos!$B$65*Calculos!$B$58*Calculos!$E$75</f>
        <v>3188.86020123123</v>
      </c>
      <c r="F77" s="71" t="n">
        <f aca="false">Calculos!$B$65*Calculos!$B$58*Calculos!$F$75</f>
        <v>3284.52600726817</v>
      </c>
      <c r="G77" s="71" t="n">
        <f aca="false">Calculos!$B$65*Calculos!$B$58*Calculos!$G$75</f>
        <v>3383.06178748621</v>
      </c>
    </row>
    <row r="78" customFormat="false" ht="12.8" hidden="false" customHeight="false" outlineLevel="0" collapsed="false">
      <c r="A78" s="0" t="s">
        <v>249</v>
      </c>
      <c r="B78" s="72"/>
      <c r="C78" s="71" t="n">
        <f aca="false">Calculos!$C$74*Calculos!$C$76</f>
        <v>93441600</v>
      </c>
      <c r="D78" s="71" t="n">
        <f aca="false">Calculos!$D$74*Calculos!$D$76</f>
        <v>134742787.2</v>
      </c>
      <c r="E78" s="71" t="n">
        <f aca="false">Calculos!$E$74*Calculos!$E$76</f>
        <v>178437948.192</v>
      </c>
      <c r="F78" s="71" t="n">
        <f aca="false">Calculos!$F$74*Calculos!$F$76</f>
        <v>224633550.33504</v>
      </c>
      <c r="G78" s="71" t="n">
        <f aca="false">Calculos!$G$74*Calculos!$G$76</f>
        <v>252406425.64919</v>
      </c>
    </row>
    <row r="79" customFormat="false" ht="12.8" hidden="false" customHeight="false" outlineLevel="0" collapsed="false">
      <c r="A79" s="0" t="s">
        <v>250</v>
      </c>
      <c r="B79" s="72"/>
      <c r="C79" s="71" t="n">
        <f aca="false">Calculos!$C$74*Calculos!$C$77</f>
        <v>72139357.93152</v>
      </c>
      <c r="D79" s="71" t="n">
        <f aca="false">Calculos!$D$74*Calculos!$D$77</f>
        <v>104024954.137252</v>
      </c>
      <c r="E79" s="71" t="n">
        <f aca="false">Calculos!$E$74*Calculos!$E$77</f>
        <v>137758760.693189</v>
      </c>
      <c r="F79" s="71" t="n">
        <f aca="false">Calculos!$F$74*Calculos!$F$77</f>
        <v>173422973.183759</v>
      </c>
      <c r="G79" s="71" t="n">
        <f aca="false">Calculos!$G$74*Calculos!$G$77</f>
        <v>194864358.959206</v>
      </c>
    </row>
    <row r="80" customFormat="false" ht="12.8" hidden="false" customHeight="false" outlineLevel="0" collapsed="false">
      <c r="A80" s="0" t="s">
        <v>251</v>
      </c>
      <c r="B80" s="72"/>
      <c r="C80" s="71" t="n">
        <f aca="false">Calculos!$B$66*12*Calculos!$B$59*Calculos!$C$75</f>
        <v>56066097.12</v>
      </c>
      <c r="D80" s="71" t="n">
        <f aca="false">Calculos!$B$66*12*Calculos!$B$59*Calculos!$D$75</f>
        <v>57748080.0336</v>
      </c>
      <c r="E80" s="71" t="n">
        <f aca="false">Calculos!$B$66*12*Calculos!$B$59*Calculos!$E$75</f>
        <v>59480522.434608</v>
      </c>
      <c r="F80" s="71" t="n">
        <f aca="false">Calculos!$B$66*12*Calculos!$B$59*Calculos!$F$75</f>
        <v>61264938.1076463</v>
      </c>
      <c r="G80" s="71" t="n">
        <f aca="false">Calculos!$B$66*12*Calculos!$B$59*Calculos!$G$75</f>
        <v>63102886.2508756</v>
      </c>
    </row>
    <row r="81" customFormat="false" ht="12.8" hidden="false" customHeight="false" outlineLevel="0" collapsed="false">
      <c r="A81" s="0" t="s">
        <v>252</v>
      </c>
      <c r="B81" s="72"/>
      <c r="C81" s="71" t="n">
        <f aca="false">Calculos!$C$78-Calculos!$C$79-Calculos!$C$80</f>
        <v>-34763855.05152</v>
      </c>
      <c r="D81" s="71" t="n">
        <f aca="false">Calculos!$D$78-Calculos!$D$79-Calculos!$D$80</f>
        <v>-27030246.9708519</v>
      </c>
      <c r="E81" s="71" t="n">
        <f aca="false">Calculos!$E$78-Calculos!$E$79-Calculos!$E$80</f>
        <v>-18801334.9357972</v>
      </c>
      <c r="F81" s="71" t="n">
        <f aca="false">Calculos!$F$78-Calculos!$F$79-Calculos!$F$80</f>
        <v>-10054360.9563656</v>
      </c>
      <c r="G81" s="71" t="n">
        <f aca="false">Calculos!$G$78-Calculos!$G$79-Calculos!$G$80</f>
        <v>-5560819.56089114</v>
      </c>
    </row>
    <row r="82" customFormat="false" ht="12.8" hidden="false" customHeight="false" outlineLevel="0" collapsed="false">
      <c r="A82" s="0" t="s">
        <v>253</v>
      </c>
      <c r="B82" s="72"/>
      <c r="C82" s="71" t="n">
        <f aca="false">Calculos!$B$69</f>
        <v>5856152.794125</v>
      </c>
      <c r="D82" s="71" t="n">
        <f aca="false">Calculos!$B$69</f>
        <v>5856152.794125</v>
      </c>
      <c r="E82" s="71" t="n">
        <f aca="false">Calculos!$B$69</f>
        <v>5856152.794125</v>
      </c>
      <c r="F82" s="71" t="n">
        <f aca="false">Calculos!$B$69</f>
        <v>5856152.794125</v>
      </c>
      <c r="G82" s="71" t="n">
        <f aca="false">Calculos!$B$69</f>
        <v>5856152.794125</v>
      </c>
    </row>
    <row r="83" customFormat="false" ht="12.8" hidden="false" customHeight="false" outlineLevel="0" collapsed="false">
      <c r="A83" s="0" t="s">
        <v>254</v>
      </c>
      <c r="B83" s="72"/>
      <c r="C83" s="71" t="n">
        <f aca="false">Calculos!$C$81-Calculos!$C$82</f>
        <v>-40620007.845645</v>
      </c>
      <c r="D83" s="71" t="n">
        <f aca="false">Calculos!$D$81-Calculos!$D$82</f>
        <v>-32886399.7649769</v>
      </c>
      <c r="E83" s="71" t="n">
        <f aca="false">Calculos!$E$81-Calculos!$E$82</f>
        <v>-24657487.7299222</v>
      </c>
      <c r="F83" s="71" t="n">
        <f aca="false">Calculos!$F$81-Calculos!$F$82</f>
        <v>-15910513.7504906</v>
      </c>
      <c r="G83" s="71" t="n">
        <f aca="false">Calculos!$G$81-Calculos!$G$82</f>
        <v>-11416972.3550161</v>
      </c>
    </row>
    <row r="84" customFormat="false" ht="12.8" hidden="false" customHeight="false" outlineLevel="0" collapsed="false">
      <c r="A84" s="0" t="s">
        <v>255</v>
      </c>
      <c r="B84" s="72"/>
      <c r="C84" s="72" t="n">
        <f aca="false">0</f>
        <v>0</v>
      </c>
      <c r="D84" s="72" t="n">
        <f aca="false">Calculos!$C$87</f>
        <v>40620007.845645</v>
      </c>
      <c r="E84" s="72" t="n">
        <f aca="false">Calculos!$D$87</f>
        <v>73506407.6106219</v>
      </c>
      <c r="F84" s="72" t="n">
        <f aca="false">Calculos!$E$87</f>
        <v>98163895.3405441</v>
      </c>
      <c r="G84" s="72" t="n">
        <f aca="false">Calculos!$F$87</f>
        <v>114074409.091035</v>
      </c>
    </row>
    <row r="85" customFormat="false" ht="12.8" hidden="false" customHeight="false" outlineLevel="0" collapsed="false">
      <c r="A85" s="0" t="s">
        <v>256</v>
      </c>
      <c r="B85" s="72"/>
      <c r="C85" s="72" t="n">
        <f aca="false">MAX(0,Calculos!$C$83-Calculos!$C$84)</f>
        <v>0</v>
      </c>
      <c r="D85" s="72" t="n">
        <f aca="false">MAX(0,Calculos!$D$83-Calculos!$D$84)</f>
        <v>0</v>
      </c>
      <c r="E85" s="72" t="n">
        <f aca="false">MAX(0,Calculos!$E$83-Calculos!$E$84)</f>
        <v>0</v>
      </c>
      <c r="F85" s="72" t="n">
        <f aca="false">MAX(0,Calculos!$F$83-Calculos!$F$84)</f>
        <v>0</v>
      </c>
      <c r="G85" s="72" t="n">
        <f aca="false">MAX(0,Calculos!$G$83-Calculos!$G$84)</f>
        <v>0</v>
      </c>
    </row>
    <row r="86" customFormat="false" ht="12.8" hidden="false" customHeight="false" outlineLevel="0" collapsed="false">
      <c r="A86" s="0" t="s">
        <v>257</v>
      </c>
      <c r="B86" s="72"/>
      <c r="C86" s="72" t="n">
        <f aca="false">Calculos!$C$85*Inputs!$C$19</f>
        <v>0</v>
      </c>
      <c r="D86" s="72" t="n">
        <f aca="false">Calculos!$D$85*Inputs!$C$20</f>
        <v>0</v>
      </c>
      <c r="E86" s="72" t="n">
        <f aca="false">Calculos!$E$85*Inputs!$C$21</f>
        <v>0</v>
      </c>
      <c r="F86" s="72" t="n">
        <f aca="false">Calculos!$F$85*Inputs!$C$22</f>
        <v>0</v>
      </c>
      <c r="G86" s="72" t="n">
        <f aca="false">Calculos!$G$85*Inputs!$C$23</f>
        <v>0</v>
      </c>
    </row>
    <row r="87" customFormat="false" ht="12.8" hidden="false" customHeight="false" outlineLevel="0" collapsed="false">
      <c r="A87" s="0" t="s">
        <v>258</v>
      </c>
      <c r="B87" s="72"/>
      <c r="C87" s="72" t="n">
        <f aca="false">MAX(0,Calculos!$C$84-Calculos!$C$83)</f>
        <v>40620007.845645</v>
      </c>
      <c r="D87" s="72" t="n">
        <f aca="false">MAX(0,Calculos!$D$84-Calculos!$D$83)</f>
        <v>73506407.6106219</v>
      </c>
      <c r="E87" s="72" t="n">
        <f aca="false">MAX(0,Calculos!$E$84-Calculos!$E$83)</f>
        <v>98163895.3405441</v>
      </c>
      <c r="F87" s="72" t="n">
        <f aca="false">MAX(0,Calculos!$F$84-Calculos!$F$83)</f>
        <v>114074409.091035</v>
      </c>
      <c r="G87" s="72" t="n">
        <f aca="false">MAX(0,Calculos!$G$84-Calculos!$G$83)</f>
        <v>125491381.446051</v>
      </c>
    </row>
    <row r="88" customFormat="false" ht="12.8" hidden="false" customHeight="false" outlineLevel="0" collapsed="false">
      <c r="A88" s="0" t="s">
        <v>259</v>
      </c>
      <c r="B88" s="72"/>
      <c r="C88" s="71" t="n">
        <f aca="false">Calculos!$C$78*Inputs!$C$48/365+Calculos!$C$79*Inputs!$C$49/365-Calculos!$C$79*Inputs!$C$50/365</f>
        <v>10644762.65472</v>
      </c>
      <c r="D88" s="71" t="n">
        <f aca="false">Calculos!$D$78*Inputs!$C$48/365+Calculos!$D$79*Inputs!$C$49/365-Calculos!$D$79*Inputs!$C$50/365</f>
        <v>15349747.7481062</v>
      </c>
      <c r="E88" s="71" t="n">
        <f aca="false">Calculos!$E$78*Inputs!$C$48/365+Calculos!$E$79*Inputs!$C$49/365-Calculos!$E$79*Inputs!$C$50/365</f>
        <v>20327451.6607064</v>
      </c>
      <c r="F88" s="71" t="n">
        <f aca="false">Calculos!$F$78*Inputs!$C$48/365+Calculos!$F$79*Inputs!$C$49/365-Calculos!$F$79*Inputs!$C$50/365</f>
        <v>25590003.0350893</v>
      </c>
      <c r="G88" s="71" t="n">
        <f aca="false">Calculos!$G$78*Inputs!$C$48/365+Calculos!$G$79*Inputs!$C$49/365-Calculos!$G$79*Inputs!$C$50/365</f>
        <v>28753857.9557912</v>
      </c>
    </row>
    <row r="89" customFormat="false" ht="12.8" hidden="false" customHeight="false" outlineLevel="0" collapsed="false">
      <c r="A89" s="0" t="s">
        <v>260</v>
      </c>
      <c r="B89" s="72"/>
      <c r="C89" s="71" t="n">
        <f aca="false">Calculos!$C$88-Calculos!$C$88</f>
        <v>0</v>
      </c>
      <c r="D89" s="71" t="n">
        <f aca="false">Calculos!$D$88-Calculos!$C$88</f>
        <v>4704985.09338624</v>
      </c>
      <c r="E89" s="71" t="n">
        <f aca="false">Calculos!$E$88-Calculos!$D$88</f>
        <v>4977703.91260017</v>
      </c>
      <c r="F89" s="71" t="n">
        <f aca="false">Calculos!$F$88-Calculos!$E$88</f>
        <v>5262551.37438288</v>
      </c>
      <c r="G89" s="71" t="n">
        <f aca="false">Calculos!$G$88-Calculos!$F$88</f>
        <v>3163854.92070195</v>
      </c>
    </row>
    <row r="90" customFormat="false" ht="12.8" hidden="false" customHeight="false" outlineLevel="0" collapsed="false">
      <c r="A90" s="0" t="s">
        <v>261</v>
      </c>
      <c r="B90" s="72"/>
      <c r="C90" s="72" t="n">
        <f aca="false">0</f>
        <v>0</v>
      </c>
      <c r="D90" s="72" t="n">
        <f aca="false">0</f>
        <v>0</v>
      </c>
      <c r="E90" s="72" t="n">
        <f aca="false">0</f>
        <v>0</v>
      </c>
      <c r="F90" s="72" t="n">
        <f aca="false">0</f>
        <v>0</v>
      </c>
      <c r="G90" s="71" t="n">
        <f aca="false">Calculos!$B$70*(1-Inputs!$C$23)+Calculos!$G$88+Calculos!$B$71</f>
        <v>32469355.2535881</v>
      </c>
    </row>
    <row r="91" customFormat="false" ht="12.8" hidden="false" customHeight="false" outlineLevel="0" collapsed="false">
      <c r="A91" s="0" t="s">
        <v>262</v>
      </c>
      <c r="B91" s="71" t="n">
        <f aca="false">-(Calculos!$B$68+Calculos!$B$71+Calculos!$C$88)</f>
        <v>-44319966.625345</v>
      </c>
      <c r="C91" s="71" t="n">
        <f aca="false">Calculos!$C$81-Calculos!$C$86-Calculos!$C$89+Calculos!$C$90</f>
        <v>-34763855.05152</v>
      </c>
      <c r="D91" s="71" t="n">
        <f aca="false">Calculos!$D$81-Calculos!$D$86-Calculos!$D$89+Calculos!$D$90</f>
        <v>-31735232.0642381</v>
      </c>
      <c r="E91" s="71" t="n">
        <f aca="false">Calculos!$E$81-Calculos!$E$86-Calculos!$E$89+Calculos!$E$90</f>
        <v>-23779038.8483974</v>
      </c>
      <c r="F91" s="71" t="n">
        <f aca="false">Calculos!$F$81-Calculos!$F$86-Calculos!$F$89+Calculos!$F$90</f>
        <v>-15316912.3307485</v>
      </c>
      <c r="G91" s="71" t="n">
        <f aca="false">Calculos!$G$81-Calculos!$G$86-Calculos!$G$89+Calculos!$G$90</f>
        <v>23744680.771995</v>
      </c>
    </row>
    <row r="92" customFormat="false" ht="12.8" hidden="false" customHeight="false" outlineLevel="0" collapsed="false">
      <c r="A92" s="0" t="s">
        <v>263</v>
      </c>
      <c r="B92" s="72" t="n">
        <v>1</v>
      </c>
      <c r="C92" s="72" t="n">
        <f aca="false">1/(1+Inputs!$C$7)^1</f>
        <v>0.869565217391304</v>
      </c>
      <c r="D92" s="72" t="n">
        <f aca="false">1/(1+Inputs!$C$7)^2</f>
        <v>0.756143667296787</v>
      </c>
      <c r="E92" s="72" t="n">
        <f aca="false">1/(1+Inputs!$C$7)^3</f>
        <v>0.657516232431988</v>
      </c>
      <c r="F92" s="72" t="n">
        <f aca="false">1/(1+Inputs!$C$7)^4</f>
        <v>0.571753245593033</v>
      </c>
      <c r="G92" s="72" t="n">
        <f aca="false">1/(1+Inputs!$C$7)^5</f>
        <v>0.49717673529829</v>
      </c>
    </row>
    <row r="93" customFormat="false" ht="12.8" hidden="false" customHeight="false" outlineLevel="0" collapsed="false">
      <c r="A93" s="0" t="s">
        <v>264</v>
      </c>
      <c r="B93" s="71" t="n">
        <f aca="false">Calculos!$B$91</f>
        <v>-44319966.625345</v>
      </c>
      <c r="C93" s="71" t="n">
        <f aca="false">Calculos!$C$91*Calculos!$C$92</f>
        <v>-30229439.1752348</v>
      </c>
      <c r="D93" s="71" t="n">
        <f aca="false">Calculos!$D$91*Calculos!$D$92</f>
        <v>-23996394.7555676</v>
      </c>
      <c r="E93" s="71" t="n">
        <f aca="false">Calculos!$E$91*Calculos!$E$92</f>
        <v>-15635104.0344522</v>
      </c>
      <c r="F93" s="71" t="n">
        <f aca="false">Calculos!$F$91*Calculos!$F$92</f>
        <v>-8757494.33756939</v>
      </c>
      <c r="G93" s="71" t="n">
        <f aca="false">Calculos!$G$91*Calculos!$G$92</f>
        <v>11805302.8669206</v>
      </c>
    </row>
    <row r="94" customFormat="false" ht="12.8" hidden="false" customHeight="false" outlineLevel="0" collapsed="false">
      <c r="A94" s="0" t="s">
        <v>265</v>
      </c>
      <c r="B94" s="71" t="n">
        <f aca="false">Calculos!$B$91</f>
        <v>-44319966.625345</v>
      </c>
      <c r="C94" s="71" t="n">
        <f aca="false">Calculos!$B$94+Calculos!$C$91</f>
        <v>-79083821.676865</v>
      </c>
      <c r="D94" s="71" t="n">
        <f aca="false">Calculos!$C$94+Calculos!$D$91</f>
        <v>-110819053.741103</v>
      </c>
      <c r="E94" s="71" t="n">
        <f aca="false">Calculos!$D$94+Calculos!$E$91</f>
        <v>-134598092.589501</v>
      </c>
      <c r="F94" s="71" t="n">
        <f aca="false">Calculos!$E$94+Calculos!$F$91</f>
        <v>-149915004.920249</v>
      </c>
      <c r="G94" s="71" t="n">
        <f aca="false">Calculos!$F$94+Calculos!$G$91</f>
        <v>-126170324.148254</v>
      </c>
    </row>
    <row r="95" customFormat="false" ht="12.8" hidden="false" customHeight="false" outlineLevel="0" collapsed="false">
      <c r="A95" s="0" t="s">
        <v>266</v>
      </c>
      <c r="B95" s="71" t="n">
        <f aca="false">Calculos!$B$93</f>
        <v>-44319966.625345</v>
      </c>
      <c r="C95" s="71" t="n">
        <f aca="false">Calculos!$B$95+Calculos!$C$93</f>
        <v>-74549405.8005798</v>
      </c>
      <c r="D95" s="71" t="n">
        <f aca="false">Calculos!$C$95+Calculos!$D$93</f>
        <v>-98545800.5561474</v>
      </c>
      <c r="E95" s="71" t="n">
        <f aca="false">Calculos!$D$95+Calculos!$E$93</f>
        <v>-114180904.5906</v>
      </c>
      <c r="F95" s="71" t="n">
        <f aca="false">Calculos!$E$95+Calculos!$F$93</f>
        <v>-122938398.928169</v>
      </c>
      <c r="G95" s="71" t="n">
        <f aca="false">Calculos!$F$95+Calculos!$G$93</f>
        <v>-111133096.061248</v>
      </c>
    </row>
    <row r="97" customFormat="false" ht="12.8" hidden="false" customHeight="false" outlineLevel="0" collapsed="false">
      <c r="A97" s="0" t="s">
        <v>3</v>
      </c>
      <c r="B97" s="72" t="n">
        <f aca="false">-Calculos!$B$91</f>
        <v>44319966.625345</v>
      </c>
    </row>
    <row r="98" customFormat="false" ht="12.8" hidden="false" customHeight="false" outlineLevel="0" collapsed="false">
      <c r="A98" s="0" t="s">
        <v>7</v>
      </c>
      <c r="B98" s="71" t="n">
        <f aca="false">SUM(Calculos!$B$93:$G$93)</f>
        <v>-111133096.061248</v>
      </c>
    </row>
    <row r="99" customFormat="false" ht="12.8" hidden="false" customHeight="false" outlineLevel="0" collapsed="false">
      <c r="A99" s="0" t="s">
        <v>9</v>
      </c>
      <c r="B99" s="75" t="n">
        <f aca="false">IFERROR(IRR(Calculos!$B$91:$G$91),-1)</f>
        <v>-1</v>
      </c>
    </row>
    <row r="100" customFormat="false" ht="12.8" hidden="false" customHeight="false" outlineLevel="0" collapsed="false">
      <c r="A100" s="0" t="s">
        <v>10</v>
      </c>
      <c r="B100" s="0" t="n">
        <f aca="false">IFERROR(IF(Calculos!$C$95&gt;=0,0+(-Calculos!$B$95/Calculos!$C$93),IF(Calculos!$D$95&gt;=0,1+(-Calculos!$C$95/Calculos!$D$93),IF(Calculos!$E$95&gt;=0,2+(-Calculos!$D$95/Calculos!$E$93),IF(Calculos!$F$95&gt;=0,3+(-Calculos!$E$95/Calculos!$F$93),IF(Calculos!$G$95&gt;=0,4+(-Calculos!$F$95/Calculos!$G$93),NA()))))),99)</f>
        <v>99</v>
      </c>
    </row>
    <row r="101" customFormat="false" ht="12.8" hidden="false" customHeight="false" outlineLevel="0" collapsed="false">
      <c r="A101" s="0" t="s">
        <v>12</v>
      </c>
      <c r="B101" s="0" t="n">
        <f aca="false">(Calculos!$C$93+Calculos!$D$93+Calculos!$E$93+Calculos!$F$93+Calculos!$G$93)/(-Calculos!$B$91)</f>
        <v>-1.50751759360972</v>
      </c>
    </row>
    <row r="102" customFormat="false" ht="12.8" hidden="false" customHeight="false" outlineLevel="0" collapsed="false">
      <c r="A102" s="0" t="s">
        <v>5</v>
      </c>
      <c r="B102" s="71" t="n">
        <f aca="false">-MIN(Calculos!$B$94:$G$94)</f>
        <v>149915004.920249</v>
      </c>
    </row>
    <row r="103" customFormat="false" ht="12.8" hidden="false" customHeight="false" outlineLevel="0" collapsed="false">
      <c r="A103" s="0" t="s">
        <v>13</v>
      </c>
      <c r="B103" s="0" t="n">
        <f aca="false">IF((Calculos!$C$76-Calculos!$C$77)&gt;0,Calculos!$C$80/(Calculos!$C$76-Calculos!$C$77)/12,NA())</f>
        <v>5263.86818249133</v>
      </c>
    </row>
    <row r="106" customFormat="false" ht="12.8" hidden="false" customHeight="false" outlineLevel="0" collapsed="false">
      <c r="A106" s="69" t="s">
        <v>296</v>
      </c>
      <c r="B106" s="69"/>
      <c r="C106" s="69"/>
      <c r="D106" s="69"/>
      <c r="E106" s="69"/>
      <c r="F106" s="69"/>
      <c r="G106" s="69"/>
    </row>
    <row r="107" customFormat="false" ht="12.8" hidden="false" customHeight="false" outlineLevel="0" collapsed="false">
      <c r="A107" s="0" t="s">
        <v>248</v>
      </c>
      <c r="B107" s="70" t="n">
        <f aca="false">Inputs!$C$74</f>
        <v>1</v>
      </c>
    </row>
    <row r="108" customFormat="false" ht="12.8" hidden="false" customHeight="false" outlineLevel="0" collapsed="false">
      <c r="A108" s="0" t="s">
        <v>247</v>
      </c>
      <c r="B108" s="70" t="n">
        <f aca="false">Inputs!$C$75</f>
        <v>1</v>
      </c>
    </row>
    <row r="109" customFormat="false" ht="12.8" hidden="false" customHeight="false" outlineLevel="0" collapsed="false">
      <c r="A109" s="0" t="s">
        <v>280</v>
      </c>
      <c r="B109" s="70" t="n">
        <f aca="false">Inputs!$C$76</f>
        <v>1</v>
      </c>
    </row>
    <row r="110" customFormat="false" ht="12.8" hidden="false" customHeight="false" outlineLevel="0" collapsed="false">
      <c r="A110" s="0" t="s">
        <v>281</v>
      </c>
      <c r="B110" s="70" t="n">
        <f aca="false">Inputs!$C$77</f>
        <v>1</v>
      </c>
    </row>
    <row r="111" customFormat="false" ht="12.8" hidden="false" customHeight="false" outlineLevel="0" collapsed="false">
      <c r="A111" s="0" t="s">
        <v>282</v>
      </c>
      <c r="B111" s="70" t="n">
        <f aca="false">Inputs!$C$78</f>
        <v>1</v>
      </c>
    </row>
    <row r="113" customFormat="false" ht="12.8" hidden="false" customHeight="false" outlineLevel="0" collapsed="false">
      <c r="A113" s="0" t="s">
        <v>283</v>
      </c>
      <c r="B113" s="71" t="n">
        <f aca="false">Inputs!$C$52+Inputs!$C$53+Inputs!$C$54+Inputs!$C$55+Inputs!$C$56+Inputs!$C$57+Inputs!$C$58+Inputs!$C$59</f>
        <v>8817795</v>
      </c>
    </row>
    <row r="114" customFormat="false" ht="12.8" hidden="false" customHeight="false" outlineLevel="0" collapsed="false">
      <c r="A114" s="0" t="s">
        <v>284</v>
      </c>
      <c r="B114" s="71" t="n">
        <f aca="false">Calculos!$B$113*Inputs!$C$60</f>
        <v>1322669.25</v>
      </c>
    </row>
    <row r="115" customFormat="false" ht="12.8" hidden="false" customHeight="false" outlineLevel="0" collapsed="false">
      <c r="A115" s="0" t="s">
        <v>285</v>
      </c>
      <c r="B115" s="72" t="n">
        <f aca="false">IF(Inputs!$C$40&gt;0,Inputs!$C$40,Inputs!$C$38*Inputs!$C$39)</f>
        <v>759720</v>
      </c>
    </row>
    <row r="116" customFormat="false" ht="12.8" hidden="false" customHeight="false" outlineLevel="0" collapsed="false">
      <c r="A116" s="0" t="s">
        <v>286</v>
      </c>
      <c r="B116" s="71" t="n">
        <f aca="false">((Inputs!$C$25*Inputs!$C$34+Inputs!$C$26*Inputs!$C$35+Inputs!$C$27*Inputs!$C$36+Inputs!$C$28)*(1+Inputs!$C$32)+Inputs!$C$29+Inputs!$C$30+Inputs!$C$31)</f>
        <v>2652.96256</v>
      </c>
    </row>
    <row r="117" customFormat="false" ht="12.8" hidden="false" customHeight="false" outlineLevel="0" collapsed="false">
      <c r="A117" s="0" t="s">
        <v>287</v>
      </c>
      <c r="B117" s="71" t="n">
        <f aca="false">(Calculos!$B$115+Inputs!$C$41*Inputs!$C$42+Inputs!$C$43+Inputs!$C$44+Inputs!$C$45+Inputs!$C$46+Inputs!$C$47)</f>
        <v>4123720</v>
      </c>
    </row>
    <row r="118" customFormat="false" ht="12.8" hidden="false" customHeight="false" outlineLevel="0" collapsed="false">
      <c r="A118" s="0" t="s">
        <v>288</v>
      </c>
      <c r="B118" s="71" t="n">
        <f aca="false">(Calculos!$B$113+Calculos!$B$114+Inputs!$C$61)*(1+Inputs!$C$64)*Calculos!$B$111</f>
        <v>25461533.8875</v>
      </c>
    </row>
    <row r="119" customFormat="false" ht="12.8" hidden="false" customHeight="false" outlineLevel="0" collapsed="false">
      <c r="A119" s="0" t="s">
        <v>289</v>
      </c>
      <c r="B119" s="71" t="n">
        <f aca="false">Calculos!$B$118+(Inputs!$C$62+Inputs!$C$63)*Calculos!$B$111</f>
        <v>27961533.8875</v>
      </c>
    </row>
    <row r="120" customFormat="false" ht="12.8" hidden="false" customHeight="false" outlineLevel="0" collapsed="false">
      <c r="A120" s="0" t="s">
        <v>290</v>
      </c>
      <c r="B120" s="71" t="n">
        <f aca="false">Calculos!$B$118/Inputs!$C$66</f>
        <v>5092306.7775</v>
      </c>
    </row>
    <row r="121" customFormat="false" ht="12.8" hidden="false" customHeight="false" outlineLevel="0" collapsed="false">
      <c r="A121" s="0" t="s">
        <v>291</v>
      </c>
      <c r="B121" s="71" t="n">
        <f aca="false">Calculos!$B$118*Inputs!$C$67</f>
        <v>2546153.38875</v>
      </c>
    </row>
    <row r="122" customFormat="false" ht="12.8" hidden="false" customHeight="false" outlineLevel="0" collapsed="false">
      <c r="A122" s="0" t="s">
        <v>292</v>
      </c>
      <c r="B122" s="72" t="n">
        <f aca="false">Calculos!$B$115*Inputs!$C$65</f>
        <v>1519440</v>
      </c>
    </row>
    <row r="124" customFormat="false" ht="18.45" hidden="false" customHeight="true" outlineLevel="0" collapsed="false">
      <c r="A124" s="13" t="s">
        <v>226</v>
      </c>
      <c r="B124" s="13" t="s">
        <v>241</v>
      </c>
      <c r="C124" s="13" t="s">
        <v>242</v>
      </c>
      <c r="D124" s="13" t="s">
        <v>243</v>
      </c>
      <c r="E124" s="13" t="s">
        <v>244</v>
      </c>
      <c r="F124" s="13" t="s">
        <v>245</v>
      </c>
      <c r="G124" s="13" t="s">
        <v>246</v>
      </c>
    </row>
    <row r="125" customFormat="false" ht="12.8" hidden="false" customHeight="false" outlineLevel="0" collapsed="false">
      <c r="A125" s="0" t="s">
        <v>247</v>
      </c>
      <c r="C125" s="0" t="n">
        <f aca="false">Inputs!$C$13*Calculos!$B$108</f>
        <v>30000</v>
      </c>
      <c r="D125" s="0" t="n">
        <f aca="false">Inputs!$C$14*Calculos!$B$108</f>
        <v>42000</v>
      </c>
      <c r="E125" s="0" t="n">
        <f aca="false">Inputs!$C$15*Calculos!$B$108</f>
        <v>54000</v>
      </c>
      <c r="F125" s="0" t="n">
        <f aca="false">Inputs!$C$16*Calculos!$B$108</f>
        <v>66000</v>
      </c>
      <c r="G125" s="0" t="n">
        <f aca="false">Inputs!$C$17*Calculos!$B$108</f>
        <v>72000</v>
      </c>
    </row>
    <row r="126" customFormat="false" ht="12.8" hidden="false" customHeight="false" outlineLevel="0" collapsed="false">
      <c r="A126" s="0" t="s">
        <v>293</v>
      </c>
      <c r="C126" s="0" t="n">
        <f aca="false">(1+Inputs!$C$8)^1</f>
        <v>1.03</v>
      </c>
      <c r="D126" s="0" t="n">
        <f aca="false">(1+Inputs!$C$8)^2</f>
        <v>1.0609</v>
      </c>
      <c r="E126" s="0" t="n">
        <f aca="false">(1+Inputs!$C$8)^3</f>
        <v>1.092727</v>
      </c>
      <c r="F126" s="0" t="n">
        <f aca="false">(1+Inputs!$C$8)^4</f>
        <v>1.12550881</v>
      </c>
      <c r="G126" s="0" t="n">
        <f aca="false">(1+Inputs!$C$8)^5</f>
        <v>1.1592740743</v>
      </c>
    </row>
    <row r="127" customFormat="false" ht="12.8" hidden="false" customHeight="false" outlineLevel="0" collapsed="false">
      <c r="A127" s="0" t="s">
        <v>248</v>
      </c>
      <c r="B127" s="72"/>
      <c r="C127" s="71" t="n">
        <f aca="false">Inputs!$C$12*Calculos!$B$107*Calculos!$C$126</f>
        <v>4326</v>
      </c>
      <c r="D127" s="71" t="n">
        <f aca="false">Inputs!$C$12*Calculos!$B$107*Calculos!$D$126</f>
        <v>4455.78</v>
      </c>
      <c r="E127" s="71" t="n">
        <f aca="false">Inputs!$C$12*Calculos!$B$107*Calculos!$E$126</f>
        <v>4589.4534</v>
      </c>
      <c r="F127" s="71" t="n">
        <f aca="false">Inputs!$C$12*Calculos!$B$107*Calculos!$F$126</f>
        <v>4727.137002</v>
      </c>
      <c r="G127" s="71" t="n">
        <f aca="false">Inputs!$C$12*Calculos!$B$107*Calculos!$G$126</f>
        <v>4868.95111206</v>
      </c>
    </row>
    <row r="128" customFormat="false" ht="12.8" hidden="false" customHeight="false" outlineLevel="0" collapsed="false">
      <c r="A128" s="0" t="s">
        <v>294</v>
      </c>
      <c r="B128" s="72"/>
      <c r="C128" s="71" t="n">
        <f aca="false">Calculos!$B$116*Calculos!$B$109*Calculos!$C$126</f>
        <v>2732.5514368</v>
      </c>
      <c r="D128" s="71" t="n">
        <f aca="false">Calculos!$B$116*Calculos!$B$109*Calculos!$D$126</f>
        <v>2814.527979904</v>
      </c>
      <c r="E128" s="71" t="n">
        <f aca="false">Calculos!$B$116*Calculos!$B$109*Calculos!$E$126</f>
        <v>2898.96381930112</v>
      </c>
      <c r="F128" s="71" t="n">
        <f aca="false">Calculos!$B$116*Calculos!$B$109*Calculos!$F$126</f>
        <v>2985.93273388015</v>
      </c>
      <c r="G128" s="71" t="n">
        <f aca="false">Calculos!$B$116*Calculos!$B$109*Calculos!$G$126</f>
        <v>3075.51071589656</v>
      </c>
    </row>
    <row r="129" customFormat="false" ht="12.8" hidden="false" customHeight="false" outlineLevel="0" collapsed="false">
      <c r="A129" s="0" t="s">
        <v>249</v>
      </c>
      <c r="B129" s="72"/>
      <c r="C129" s="71" t="n">
        <f aca="false">Calculos!$C$125*Calculos!$C$127</f>
        <v>129780000</v>
      </c>
      <c r="D129" s="71" t="n">
        <f aca="false">Calculos!$D$125*Calculos!$D$127</f>
        <v>187142760</v>
      </c>
      <c r="E129" s="71" t="n">
        <f aca="false">Calculos!$E$125*Calculos!$E$127</f>
        <v>247830483.6</v>
      </c>
      <c r="F129" s="71" t="n">
        <f aca="false">Calculos!$F$125*Calculos!$F$127</f>
        <v>311991042.132</v>
      </c>
      <c r="G129" s="71" t="n">
        <f aca="false">Calculos!$G$125*Calculos!$G$127</f>
        <v>350564480.06832</v>
      </c>
    </row>
    <row r="130" customFormat="false" ht="12.8" hidden="false" customHeight="false" outlineLevel="0" collapsed="false">
      <c r="A130" s="0" t="s">
        <v>250</v>
      </c>
      <c r="B130" s="72"/>
      <c r="C130" s="71" t="n">
        <f aca="false">Calculos!$C$125*Calculos!$C$128</f>
        <v>81976543.104</v>
      </c>
      <c r="D130" s="71" t="n">
        <f aca="false">Calculos!$D$125*Calculos!$D$128</f>
        <v>118210175.155968</v>
      </c>
      <c r="E130" s="71" t="n">
        <f aca="false">Calculos!$E$125*Calculos!$E$128</f>
        <v>156544046.242261</v>
      </c>
      <c r="F130" s="71" t="n">
        <f aca="false">Calculos!$F$125*Calculos!$F$128</f>
        <v>197071560.43609</v>
      </c>
      <c r="G130" s="71" t="n">
        <f aca="false">Calculos!$G$125*Calculos!$G$128</f>
        <v>221436771.544552</v>
      </c>
    </row>
    <row r="131" customFormat="false" ht="12.8" hidden="false" customHeight="false" outlineLevel="0" collapsed="false">
      <c r="A131" s="0" t="s">
        <v>251</v>
      </c>
      <c r="B131" s="72"/>
      <c r="C131" s="71" t="n">
        <f aca="false">Calculos!$B$117*12*Calculos!$B$110*Calculos!$C$126</f>
        <v>50969179.2</v>
      </c>
      <c r="D131" s="71" t="n">
        <f aca="false">Calculos!$B$117*12*Calculos!$B$110*Calculos!$D$126</f>
        <v>52498254.576</v>
      </c>
      <c r="E131" s="71" t="n">
        <f aca="false">Calculos!$B$117*12*Calculos!$B$110*Calculos!$E$126</f>
        <v>54073202.21328</v>
      </c>
      <c r="F131" s="71" t="n">
        <f aca="false">Calculos!$B$117*12*Calculos!$B$110*Calculos!$F$126</f>
        <v>55695398.2796784</v>
      </c>
      <c r="G131" s="71" t="n">
        <f aca="false">Calculos!$B$117*12*Calculos!$B$110*Calculos!$G$126</f>
        <v>57366260.2280688</v>
      </c>
    </row>
    <row r="132" customFormat="false" ht="12.8" hidden="false" customHeight="false" outlineLevel="0" collapsed="false">
      <c r="A132" s="0" t="s">
        <v>252</v>
      </c>
      <c r="B132" s="72"/>
      <c r="C132" s="71" t="n">
        <f aca="false">Calculos!$C$129-Calculos!$C$130-Calculos!$C$131</f>
        <v>-3165722.30400001</v>
      </c>
      <c r="D132" s="71" t="n">
        <f aca="false">Calculos!$D$129-Calculos!$D$130-Calculos!$D$131</f>
        <v>16434330.268032</v>
      </c>
      <c r="E132" s="71" t="n">
        <f aca="false">Calculos!$E$129-Calculos!$E$130-Calculos!$E$131</f>
        <v>37213235.1444595</v>
      </c>
      <c r="F132" s="71" t="n">
        <f aca="false">Calculos!$F$129-Calculos!$F$130-Calculos!$F$131</f>
        <v>59224083.4162315</v>
      </c>
      <c r="G132" s="71" t="n">
        <f aca="false">Calculos!$G$129-Calculos!$G$130-Calculos!$G$131</f>
        <v>71761448.295699</v>
      </c>
    </row>
    <row r="133" customFormat="false" ht="12.8" hidden="false" customHeight="false" outlineLevel="0" collapsed="false">
      <c r="A133" s="0" t="s">
        <v>253</v>
      </c>
      <c r="B133" s="72"/>
      <c r="C133" s="71" t="n">
        <f aca="false">Calculos!$B$120</f>
        <v>5092306.7775</v>
      </c>
      <c r="D133" s="71" t="n">
        <f aca="false">Calculos!$B$120</f>
        <v>5092306.7775</v>
      </c>
      <c r="E133" s="71" t="n">
        <f aca="false">Calculos!$B$120</f>
        <v>5092306.7775</v>
      </c>
      <c r="F133" s="71" t="n">
        <f aca="false">Calculos!$B$120</f>
        <v>5092306.7775</v>
      </c>
      <c r="G133" s="71" t="n">
        <f aca="false">Calculos!$B$120</f>
        <v>5092306.7775</v>
      </c>
    </row>
    <row r="134" customFormat="false" ht="12.8" hidden="false" customHeight="false" outlineLevel="0" collapsed="false">
      <c r="A134" s="0" t="s">
        <v>254</v>
      </c>
      <c r="B134" s="72"/>
      <c r="C134" s="71" t="n">
        <f aca="false">Calculos!$C$132-Calculos!$C$133</f>
        <v>-8258029.08150001</v>
      </c>
      <c r="D134" s="71" t="n">
        <f aca="false">Calculos!$D$132-Calculos!$D$133</f>
        <v>11342023.490532</v>
      </c>
      <c r="E134" s="71" t="n">
        <f aca="false">Calculos!$E$132-Calculos!$E$133</f>
        <v>32120928.3669595</v>
      </c>
      <c r="F134" s="71" t="n">
        <f aca="false">Calculos!$F$132-Calculos!$F$133</f>
        <v>54131776.6387315</v>
      </c>
      <c r="G134" s="71" t="n">
        <f aca="false">Calculos!$G$132-Calculos!$G$133</f>
        <v>66669141.518199</v>
      </c>
    </row>
    <row r="135" customFormat="false" ht="12.8" hidden="false" customHeight="false" outlineLevel="0" collapsed="false">
      <c r="A135" s="0" t="s">
        <v>255</v>
      </c>
      <c r="B135" s="72"/>
      <c r="C135" s="72" t="n">
        <f aca="false">0</f>
        <v>0</v>
      </c>
      <c r="D135" s="72" t="n">
        <f aca="false">Calculos!$C$138</f>
        <v>8258029.08150001</v>
      </c>
      <c r="E135" s="72" t="n">
        <f aca="false">Calculos!$D$138</f>
        <v>0</v>
      </c>
      <c r="F135" s="72" t="n">
        <f aca="false">Calculos!$E$138</f>
        <v>0</v>
      </c>
      <c r="G135" s="72" t="n">
        <f aca="false">Calculos!$F$138</f>
        <v>0</v>
      </c>
    </row>
    <row r="136" customFormat="false" ht="12.8" hidden="false" customHeight="false" outlineLevel="0" collapsed="false">
      <c r="A136" s="0" t="s">
        <v>256</v>
      </c>
      <c r="B136" s="72"/>
      <c r="C136" s="72" t="n">
        <f aca="false">MAX(0,Calculos!$C$134-Calculos!$C$135)</f>
        <v>0</v>
      </c>
      <c r="D136" s="72" t="n">
        <f aca="false">MAX(0,Calculos!$D$134-Calculos!$D$135)</f>
        <v>3083994.409032</v>
      </c>
      <c r="E136" s="72" t="n">
        <f aca="false">MAX(0,Calculos!$E$134-Calculos!$E$135)</f>
        <v>32120928.3669595</v>
      </c>
      <c r="F136" s="72" t="n">
        <f aca="false">MAX(0,Calculos!$F$134-Calculos!$F$135)</f>
        <v>54131776.6387315</v>
      </c>
      <c r="G136" s="72" t="n">
        <f aca="false">MAX(0,Calculos!$G$134-Calculos!$G$135)</f>
        <v>66669141.518199</v>
      </c>
    </row>
    <row r="137" customFormat="false" ht="12.8" hidden="false" customHeight="false" outlineLevel="0" collapsed="false">
      <c r="A137" s="0" t="s">
        <v>257</v>
      </c>
      <c r="B137" s="72"/>
      <c r="C137" s="72" t="n">
        <f aca="false">Calculos!$C$136*Inputs!$C$19</f>
        <v>0</v>
      </c>
      <c r="D137" s="72" t="n">
        <f aca="false">Calculos!$D$136*Inputs!$C$20</f>
        <v>462599.1613548</v>
      </c>
      <c r="E137" s="72" t="n">
        <f aca="false">Calculos!$E$136*Inputs!$C$21</f>
        <v>8030232.09173989</v>
      </c>
      <c r="F137" s="72" t="n">
        <f aca="false">Calculos!$F$136*Inputs!$C$22</f>
        <v>13532944.1596829</v>
      </c>
      <c r="G137" s="72" t="n">
        <f aca="false">Calculos!$G$136*Inputs!$C$23</f>
        <v>16667285.3795498</v>
      </c>
    </row>
    <row r="138" customFormat="false" ht="12.8" hidden="false" customHeight="false" outlineLevel="0" collapsed="false">
      <c r="A138" s="0" t="s">
        <v>258</v>
      </c>
      <c r="B138" s="72"/>
      <c r="C138" s="72" t="n">
        <f aca="false">MAX(0,Calculos!$C$135-Calculos!$C$134)</f>
        <v>8258029.08150001</v>
      </c>
      <c r="D138" s="72" t="n">
        <f aca="false">MAX(0,Calculos!$D$135-Calculos!$D$134)</f>
        <v>0</v>
      </c>
      <c r="E138" s="72" t="n">
        <f aca="false">MAX(0,Calculos!$E$135-Calculos!$E$134)</f>
        <v>0</v>
      </c>
      <c r="F138" s="72" t="n">
        <f aca="false">MAX(0,Calculos!$F$135-Calculos!$F$134)</f>
        <v>0</v>
      </c>
      <c r="G138" s="72" t="n">
        <f aca="false">MAX(0,Calculos!$G$135-Calculos!$G$134)</f>
        <v>0</v>
      </c>
    </row>
    <row r="139" customFormat="false" ht="12.8" hidden="false" customHeight="false" outlineLevel="0" collapsed="false">
      <c r="A139" s="0" t="s">
        <v>259</v>
      </c>
      <c r="B139" s="72"/>
      <c r="C139" s="71" t="n">
        <f aca="false">Calculos!$C$129*Inputs!$C$48/365+Calculos!$C$130*Inputs!$C$49/365-Calculos!$C$130*Inputs!$C$50/365</f>
        <v>14035748.3467397</v>
      </c>
      <c r="D139" s="71" t="n">
        <f aca="false">Calculos!$D$129*Inputs!$C$48/365+Calculos!$D$130*Inputs!$C$49/365-Calculos!$D$130*Inputs!$C$50/365</f>
        <v>20239549.1159987</v>
      </c>
      <c r="E139" s="71" t="n">
        <f aca="false">Calculos!$E$129*Inputs!$C$48/365+Calculos!$E$130*Inputs!$C$49/365-Calculos!$E$130*Inputs!$C$50/365</f>
        <v>26802945.7579011</v>
      </c>
      <c r="F139" s="71" t="n">
        <f aca="false">Calculos!$F$129*Inputs!$C$48/365+Calculos!$F$130*Inputs!$C$49/365-Calculos!$F$130*Inputs!$C$50/365</f>
        <v>33741930.6041133</v>
      </c>
      <c r="G139" s="71" t="n">
        <f aca="false">Calculos!$G$129*Inputs!$C$48/365+Calculos!$G$130*Inputs!$C$49/365-Calculos!$G$130*Inputs!$C$50/365</f>
        <v>37913660.2060764</v>
      </c>
    </row>
    <row r="140" customFormat="false" ht="12.8" hidden="false" customHeight="false" outlineLevel="0" collapsed="false">
      <c r="A140" s="0" t="s">
        <v>260</v>
      </c>
      <c r="B140" s="72"/>
      <c r="C140" s="71" t="n">
        <f aca="false">Calculos!$C$139-Calculos!$C$139</f>
        <v>0</v>
      </c>
      <c r="D140" s="71" t="n">
        <f aca="false">Calculos!$D$139-Calculos!$C$139</f>
        <v>6203800.76925896</v>
      </c>
      <c r="E140" s="71" t="n">
        <f aca="false">Calculos!$E$139-Calculos!$D$139</f>
        <v>6563396.64190243</v>
      </c>
      <c r="F140" s="71" t="n">
        <f aca="false">Calculos!$F$139-Calculos!$E$139</f>
        <v>6938984.84621218</v>
      </c>
      <c r="G140" s="71" t="n">
        <f aca="false">Calculos!$G$139-Calculos!$F$139</f>
        <v>4171729.6019631</v>
      </c>
    </row>
    <row r="141" customFormat="false" ht="12.8" hidden="false" customHeight="false" outlineLevel="0" collapsed="false">
      <c r="A141" s="0" t="s">
        <v>261</v>
      </c>
      <c r="B141" s="72"/>
      <c r="C141" s="72" t="n">
        <f aca="false">0</f>
        <v>0</v>
      </c>
      <c r="D141" s="72" t="n">
        <f aca="false">0</f>
        <v>0</v>
      </c>
      <c r="E141" s="72" t="n">
        <f aca="false">0</f>
        <v>0</v>
      </c>
      <c r="F141" s="72" t="n">
        <f aca="false">0</f>
        <v>0</v>
      </c>
      <c r="G141" s="71" t="n">
        <f aca="false">Calculos!$B$121*(1-Inputs!$C$23)+Calculos!$G$139+Calculos!$B$122</f>
        <v>41342715.2476389</v>
      </c>
    </row>
    <row r="142" customFormat="false" ht="12.8" hidden="false" customHeight="false" outlineLevel="0" collapsed="false">
      <c r="A142" s="0" t="s">
        <v>262</v>
      </c>
      <c r="B142" s="71" t="n">
        <f aca="false">-(Calculos!$B$119+Calculos!$B$122+Calculos!$C$139)</f>
        <v>-43516722.2342397</v>
      </c>
      <c r="C142" s="71" t="n">
        <f aca="false">Calculos!$C$132-Calculos!$C$137-Calculos!$C$140+Calculos!$C$141</f>
        <v>-3165722.30400001</v>
      </c>
      <c r="D142" s="71" t="n">
        <f aca="false">Calculos!$D$132-Calculos!$D$137-Calculos!$D$140+Calculos!$D$141</f>
        <v>9767930.33741825</v>
      </c>
      <c r="E142" s="71" t="n">
        <f aca="false">Calculos!$E$132-Calculos!$E$137-Calculos!$E$140+Calculos!$E$141</f>
        <v>22619606.4108172</v>
      </c>
      <c r="F142" s="71" t="n">
        <f aca="false">Calculos!$F$132-Calculos!$F$137-Calculos!$F$140+Calculos!$F$141</f>
        <v>38752154.4103364</v>
      </c>
      <c r="G142" s="71" t="n">
        <f aca="false">Calculos!$G$132-Calculos!$G$137-Calculos!$G$140+Calculos!$G$141</f>
        <v>92265148.5618251</v>
      </c>
    </row>
    <row r="143" customFormat="false" ht="12.8" hidden="false" customHeight="false" outlineLevel="0" collapsed="false">
      <c r="A143" s="0" t="s">
        <v>263</v>
      </c>
      <c r="B143" s="72" t="n">
        <v>1</v>
      </c>
      <c r="C143" s="72" t="n">
        <f aca="false">1/(1+Inputs!$C$7)^1</f>
        <v>0.869565217391304</v>
      </c>
      <c r="D143" s="72" t="n">
        <f aca="false">1/(1+Inputs!$C$7)^2</f>
        <v>0.756143667296787</v>
      </c>
      <c r="E143" s="72" t="n">
        <f aca="false">1/(1+Inputs!$C$7)^3</f>
        <v>0.657516232431988</v>
      </c>
      <c r="F143" s="72" t="n">
        <f aca="false">1/(1+Inputs!$C$7)^4</f>
        <v>0.571753245593033</v>
      </c>
      <c r="G143" s="72" t="n">
        <f aca="false">1/(1+Inputs!$C$7)^5</f>
        <v>0.49717673529829</v>
      </c>
    </row>
    <row r="144" customFormat="false" ht="12.8" hidden="false" customHeight="false" outlineLevel="0" collapsed="false">
      <c r="A144" s="0" t="s">
        <v>264</v>
      </c>
      <c r="B144" s="71" t="n">
        <f aca="false">Calculos!$B$142</f>
        <v>-43516722.2342397</v>
      </c>
      <c r="C144" s="71" t="n">
        <f aca="false">Calculos!$C$142*Calculos!$C$143</f>
        <v>-2752802.00347827</v>
      </c>
      <c r="D144" s="71" t="n">
        <f aca="false">Calculos!$D$142*Calculos!$D$143</f>
        <v>7385958.66723497</v>
      </c>
      <c r="E144" s="71" t="n">
        <f aca="false">Calculos!$E$142*Calculos!$E$143</f>
        <v>14872758.386335</v>
      </c>
      <c r="F144" s="71" t="n">
        <f aca="false">Calculos!$F$142*Calculos!$F$143</f>
        <v>22156670.0578322</v>
      </c>
      <c r="G144" s="71" t="n">
        <f aca="false">Calculos!$G$142*Calculos!$G$143</f>
        <v>45872085.3437799</v>
      </c>
    </row>
    <row r="145" customFormat="false" ht="12.8" hidden="false" customHeight="false" outlineLevel="0" collapsed="false">
      <c r="A145" s="0" t="s">
        <v>265</v>
      </c>
      <c r="B145" s="71" t="n">
        <f aca="false">Calculos!$B$142</f>
        <v>-43516722.2342397</v>
      </c>
      <c r="C145" s="71" t="n">
        <f aca="false">Calculos!$B$145+Calculos!$C$142</f>
        <v>-46682444.5382397</v>
      </c>
      <c r="D145" s="71" t="n">
        <f aca="false">Calculos!$C$145+Calculos!$D$142</f>
        <v>-36914514.2008215</v>
      </c>
      <c r="E145" s="71" t="n">
        <f aca="false">Calculos!$D$145+Calculos!$E$142</f>
        <v>-14294907.7900043</v>
      </c>
      <c r="F145" s="71" t="n">
        <f aca="false">Calculos!$E$145+Calculos!$F$142</f>
        <v>24457246.6203321</v>
      </c>
      <c r="G145" s="71" t="n">
        <f aca="false">Calculos!$F$145+Calculos!$G$142</f>
        <v>116722395.182157</v>
      </c>
    </row>
    <row r="146" customFormat="false" ht="12.8" hidden="false" customHeight="false" outlineLevel="0" collapsed="false">
      <c r="A146" s="0" t="s">
        <v>266</v>
      </c>
      <c r="B146" s="71" t="n">
        <f aca="false">Calculos!$B$144</f>
        <v>-43516722.2342397</v>
      </c>
      <c r="C146" s="71" t="n">
        <f aca="false">Calculos!$B$146+Calculos!$C$144</f>
        <v>-46269524.237718</v>
      </c>
      <c r="D146" s="71" t="n">
        <f aca="false">Calculos!$C$146+Calculos!$D$144</f>
        <v>-38883565.570483</v>
      </c>
      <c r="E146" s="71" t="n">
        <f aca="false">Calculos!$D$146+Calculos!$E$144</f>
        <v>-24010807.184148</v>
      </c>
      <c r="F146" s="71" t="n">
        <f aca="false">Calculos!$E$146+Calculos!$F$144</f>
        <v>-1854137.1263158</v>
      </c>
      <c r="G146" s="71" t="n">
        <f aca="false">Calculos!$F$146+Calculos!$G$144</f>
        <v>44017948.2174641</v>
      </c>
    </row>
    <row r="148" customFormat="false" ht="12.8" hidden="false" customHeight="false" outlineLevel="0" collapsed="false">
      <c r="A148" s="0" t="s">
        <v>3</v>
      </c>
      <c r="B148" s="72" t="n">
        <f aca="false">-Calculos!$B$142</f>
        <v>43516722.2342397</v>
      </c>
    </row>
    <row r="149" customFormat="false" ht="12.8" hidden="false" customHeight="false" outlineLevel="0" collapsed="false">
      <c r="A149" s="0" t="s">
        <v>7</v>
      </c>
      <c r="B149" s="71" t="n">
        <f aca="false">SUM(Calculos!$B$144:$G$144)</f>
        <v>44017948.2174641</v>
      </c>
    </row>
    <row r="150" customFormat="false" ht="12.8" hidden="false" customHeight="false" outlineLevel="0" collapsed="false">
      <c r="A150" s="0" t="s">
        <v>9</v>
      </c>
      <c r="B150" s="73" t="n">
        <f aca="false">IFERROR(IRR(Calculos!$B$142:$G$142),-1)</f>
        <v>0.356896565571158</v>
      </c>
    </row>
    <row r="151" customFormat="false" ht="12.8" hidden="false" customHeight="false" outlineLevel="0" collapsed="false">
      <c r="A151" s="0" t="s">
        <v>10</v>
      </c>
      <c r="B151" s="0" t="n">
        <f aca="false">IFERROR(IF(Calculos!$C$146&gt;=0,0+(-Calculos!$B$146/Calculos!$C$144),IF(Calculos!$D$146&gt;=0,1+(-Calculos!$C$146/Calculos!$D$144),IF(Calculos!$E$146&gt;=0,2+(-Calculos!$D$146/Calculos!$E$144),IF(Calculos!$F$146&gt;=0,3+(-Calculos!$E$146/Calculos!$F$144),IF(Calculos!$G$146&gt;=0,4+(-Calculos!$F$146/Calculos!$G$144),NA()))))),99)</f>
        <v>4.04041972612364</v>
      </c>
    </row>
    <row r="152" customFormat="false" ht="12.8" hidden="false" customHeight="false" outlineLevel="0" collapsed="false">
      <c r="A152" s="0" t="s">
        <v>12</v>
      </c>
      <c r="B152" s="0" t="n">
        <f aca="false">(Calculos!$C$144+Calculos!$D$144+Calculos!$E$144+Calculos!$F$144+Calculos!$G$144)/(-Calculos!$B$142)</f>
        <v>2.01151800865254</v>
      </c>
    </row>
    <row r="153" customFormat="false" ht="12.8" hidden="false" customHeight="false" outlineLevel="0" collapsed="false">
      <c r="A153" s="0" t="s">
        <v>5</v>
      </c>
      <c r="B153" s="71" t="n">
        <f aca="false">-MIN(Calculos!$B$145:$G$145)</f>
        <v>46682444.5382397</v>
      </c>
    </row>
    <row r="154" customFormat="false" ht="12.8" hidden="false" customHeight="false" outlineLevel="0" collapsed="false">
      <c r="A154" s="0" t="s">
        <v>13</v>
      </c>
      <c r="B154" s="0" t="n">
        <f aca="false">IF((Calculos!$C$127-Calculos!$C$128)&gt;0,Calculos!$C$131/(Calculos!$C$127-Calculos!$C$128)/12,NA())</f>
        <v>2665.5592769623</v>
      </c>
    </row>
    <row r="157" customFormat="false" ht="12.8" hidden="false" customHeight="false" outlineLevel="0" collapsed="false">
      <c r="A157" s="69" t="s">
        <v>297</v>
      </c>
      <c r="B157" s="69"/>
      <c r="C157" s="69"/>
      <c r="D157" s="69"/>
      <c r="E157" s="69"/>
      <c r="F157" s="69"/>
      <c r="G157" s="69"/>
    </row>
    <row r="158" customFormat="false" ht="12.8" hidden="false" customHeight="false" outlineLevel="0" collapsed="false">
      <c r="A158" s="0" t="s">
        <v>248</v>
      </c>
      <c r="B158" s="74" t="n">
        <f aca="false">Inputs!$C$79</f>
        <v>1.1</v>
      </c>
    </row>
    <row r="159" customFormat="false" ht="12.8" hidden="false" customHeight="false" outlineLevel="0" collapsed="false">
      <c r="A159" s="0" t="s">
        <v>247</v>
      </c>
      <c r="B159" s="74" t="n">
        <f aca="false">Inputs!$C$80</f>
        <v>1.2</v>
      </c>
    </row>
    <row r="160" customFormat="false" ht="12.8" hidden="false" customHeight="false" outlineLevel="0" collapsed="false">
      <c r="A160" s="0" t="s">
        <v>280</v>
      </c>
      <c r="B160" s="74" t="n">
        <f aca="false">Inputs!$C$81</f>
        <v>0.95</v>
      </c>
    </row>
    <row r="161" customFormat="false" ht="12.8" hidden="false" customHeight="false" outlineLevel="0" collapsed="false">
      <c r="A161" s="0" t="s">
        <v>281</v>
      </c>
      <c r="B161" s="70" t="n">
        <f aca="false">Inputs!$C$82</f>
        <v>1</v>
      </c>
    </row>
    <row r="162" customFormat="false" ht="12.8" hidden="false" customHeight="false" outlineLevel="0" collapsed="false">
      <c r="A162" s="0" t="s">
        <v>282</v>
      </c>
      <c r="B162" s="74" t="n">
        <f aca="false">Inputs!$C$83</f>
        <v>0.95</v>
      </c>
    </row>
    <row r="164" customFormat="false" ht="12.8" hidden="false" customHeight="false" outlineLevel="0" collapsed="false">
      <c r="A164" s="0" t="s">
        <v>283</v>
      </c>
      <c r="B164" s="71" t="n">
        <f aca="false">Inputs!$C$52+Inputs!$C$53+Inputs!$C$54+Inputs!$C$55+Inputs!$C$56+Inputs!$C$57+Inputs!$C$58+Inputs!$C$59</f>
        <v>8817795</v>
      </c>
    </row>
    <row r="165" customFormat="false" ht="12.8" hidden="false" customHeight="false" outlineLevel="0" collapsed="false">
      <c r="A165" s="0" t="s">
        <v>284</v>
      </c>
      <c r="B165" s="71" t="n">
        <f aca="false">Calculos!$B$164*Inputs!$C$60</f>
        <v>1322669.25</v>
      </c>
    </row>
    <row r="166" customFormat="false" ht="12.8" hidden="false" customHeight="false" outlineLevel="0" collapsed="false">
      <c r="A166" s="0" t="s">
        <v>285</v>
      </c>
      <c r="B166" s="72" t="n">
        <f aca="false">IF(Inputs!$C$40&gt;0,Inputs!$C$40,Inputs!$C$38*Inputs!$C$39)</f>
        <v>759720</v>
      </c>
    </row>
    <row r="167" customFormat="false" ht="12.8" hidden="false" customHeight="false" outlineLevel="0" collapsed="false">
      <c r="A167" s="0" t="s">
        <v>286</v>
      </c>
      <c r="B167" s="71" t="n">
        <f aca="false">((Inputs!$C$25*Inputs!$C$34+Inputs!$C$26*Inputs!$C$35+Inputs!$C$27*Inputs!$C$36+Inputs!$C$28)*(1+Inputs!$C$32)+Inputs!$C$29+Inputs!$C$30+Inputs!$C$31)</f>
        <v>2652.96256</v>
      </c>
    </row>
    <row r="168" customFormat="false" ht="12.8" hidden="false" customHeight="false" outlineLevel="0" collapsed="false">
      <c r="A168" s="0" t="s">
        <v>287</v>
      </c>
      <c r="B168" s="71" t="n">
        <f aca="false">(Calculos!$B$166+Inputs!$C$41*Inputs!$C$42+Inputs!$C$43+Inputs!$C$44+Inputs!$C$45+Inputs!$C$46+Inputs!$C$47)</f>
        <v>4123720</v>
      </c>
    </row>
    <row r="169" customFormat="false" ht="12.8" hidden="false" customHeight="false" outlineLevel="0" collapsed="false">
      <c r="A169" s="0" t="s">
        <v>288</v>
      </c>
      <c r="B169" s="71" t="n">
        <f aca="false">(Calculos!$B$164+Calculos!$B$165+Inputs!$C$61)*(1+Inputs!$C$64)*Calculos!$B$162</f>
        <v>24188457.193125</v>
      </c>
    </row>
    <row r="170" customFormat="false" ht="12.8" hidden="false" customHeight="false" outlineLevel="0" collapsed="false">
      <c r="A170" s="0" t="s">
        <v>289</v>
      </c>
      <c r="B170" s="71" t="n">
        <f aca="false">Calculos!$B$169+(Inputs!$C$62+Inputs!$C$63)*Calculos!$B$162</f>
        <v>26563457.193125</v>
      </c>
    </row>
    <row r="171" customFormat="false" ht="12.8" hidden="false" customHeight="false" outlineLevel="0" collapsed="false">
      <c r="A171" s="0" t="s">
        <v>290</v>
      </c>
      <c r="B171" s="71" t="n">
        <f aca="false">Calculos!$B$169/Inputs!$C$66</f>
        <v>4837691.438625</v>
      </c>
    </row>
    <row r="172" customFormat="false" ht="12.8" hidden="false" customHeight="false" outlineLevel="0" collapsed="false">
      <c r="A172" s="0" t="s">
        <v>291</v>
      </c>
      <c r="B172" s="71" t="n">
        <f aca="false">Calculos!$B$169*Inputs!$C$67</f>
        <v>2418845.7193125</v>
      </c>
    </row>
    <row r="173" customFormat="false" ht="12.8" hidden="false" customHeight="false" outlineLevel="0" collapsed="false">
      <c r="A173" s="0" t="s">
        <v>292</v>
      </c>
      <c r="B173" s="72" t="n">
        <f aca="false">Calculos!$B$166*Inputs!$C$65</f>
        <v>1519440</v>
      </c>
    </row>
    <row r="175" customFormat="false" ht="18.45" hidden="false" customHeight="true" outlineLevel="0" collapsed="false">
      <c r="A175" s="13" t="s">
        <v>226</v>
      </c>
      <c r="B175" s="13" t="s">
        <v>241</v>
      </c>
      <c r="C175" s="13" t="s">
        <v>242</v>
      </c>
      <c r="D175" s="13" t="s">
        <v>243</v>
      </c>
      <c r="E175" s="13" t="s">
        <v>244</v>
      </c>
      <c r="F175" s="13" t="s">
        <v>245</v>
      </c>
      <c r="G175" s="13" t="s">
        <v>246</v>
      </c>
    </row>
    <row r="176" customFormat="false" ht="12.8" hidden="false" customHeight="false" outlineLevel="0" collapsed="false">
      <c r="A176" s="0" t="s">
        <v>247</v>
      </c>
      <c r="C176" s="0" t="n">
        <f aca="false">Inputs!$C$13*Calculos!$B$159</f>
        <v>36000</v>
      </c>
      <c r="D176" s="0" t="n">
        <f aca="false">Inputs!$C$14*Calculos!$B$159</f>
        <v>50400</v>
      </c>
      <c r="E176" s="0" t="n">
        <f aca="false">Inputs!$C$15*Calculos!$B$159</f>
        <v>64800</v>
      </c>
      <c r="F176" s="0" t="n">
        <f aca="false">Inputs!$C$16*Calculos!$B$159</f>
        <v>79200</v>
      </c>
      <c r="G176" s="0" t="n">
        <f aca="false">Inputs!$C$17*Calculos!$B$159</f>
        <v>86400</v>
      </c>
    </row>
    <row r="177" customFormat="false" ht="12.8" hidden="false" customHeight="false" outlineLevel="0" collapsed="false">
      <c r="A177" s="0" t="s">
        <v>293</v>
      </c>
      <c r="C177" s="0" t="n">
        <f aca="false">(1+Inputs!$C$8)^1</f>
        <v>1.03</v>
      </c>
      <c r="D177" s="0" t="n">
        <f aca="false">(1+Inputs!$C$8)^2</f>
        <v>1.0609</v>
      </c>
      <c r="E177" s="0" t="n">
        <f aca="false">(1+Inputs!$C$8)^3</f>
        <v>1.092727</v>
      </c>
      <c r="F177" s="0" t="n">
        <f aca="false">(1+Inputs!$C$8)^4</f>
        <v>1.12550881</v>
      </c>
      <c r="G177" s="0" t="n">
        <f aca="false">(1+Inputs!$C$8)^5</f>
        <v>1.1592740743</v>
      </c>
    </row>
    <row r="178" customFormat="false" ht="12.8" hidden="false" customHeight="false" outlineLevel="0" collapsed="false">
      <c r="A178" s="0" t="s">
        <v>248</v>
      </c>
      <c r="B178" s="72"/>
      <c r="C178" s="71" t="n">
        <f aca="false">Inputs!$C$12*Calculos!$B$158*Calculos!$C$177</f>
        <v>4758.6</v>
      </c>
      <c r="D178" s="71" t="n">
        <f aca="false">Inputs!$C$12*Calculos!$B$158*Calculos!$D$177</f>
        <v>4901.358</v>
      </c>
      <c r="E178" s="71" t="n">
        <f aca="false">Inputs!$C$12*Calculos!$B$158*Calculos!$E$177</f>
        <v>5048.39874</v>
      </c>
      <c r="F178" s="71" t="n">
        <f aca="false">Inputs!$C$12*Calculos!$B$158*Calculos!$F$177</f>
        <v>5199.8507022</v>
      </c>
      <c r="G178" s="71" t="n">
        <f aca="false">Inputs!$C$12*Calculos!$B$158*Calculos!$G$177</f>
        <v>5355.846223266</v>
      </c>
    </row>
    <row r="179" customFormat="false" ht="12.8" hidden="false" customHeight="false" outlineLevel="0" collapsed="false">
      <c r="A179" s="0" t="s">
        <v>294</v>
      </c>
      <c r="B179" s="72"/>
      <c r="C179" s="71" t="n">
        <f aca="false">Calculos!$B$167*Calculos!$B$160*Calculos!$C$177</f>
        <v>2595.92386496</v>
      </c>
      <c r="D179" s="71" t="n">
        <f aca="false">Calculos!$B$167*Calculos!$B$160*Calculos!$D$177</f>
        <v>2673.8015809088</v>
      </c>
      <c r="E179" s="71" t="n">
        <f aca="false">Calculos!$B$167*Calculos!$B$160*Calculos!$E$177</f>
        <v>2754.01562833606</v>
      </c>
      <c r="F179" s="71" t="n">
        <f aca="false">Calculos!$B$167*Calculos!$B$160*Calculos!$F$177</f>
        <v>2836.63609718615</v>
      </c>
      <c r="G179" s="71" t="n">
        <f aca="false">Calculos!$B$167*Calculos!$B$160*Calculos!$G$177</f>
        <v>2921.73518010173</v>
      </c>
    </row>
    <row r="180" customFormat="false" ht="12.8" hidden="false" customHeight="false" outlineLevel="0" collapsed="false">
      <c r="A180" s="0" t="s">
        <v>249</v>
      </c>
      <c r="B180" s="72"/>
      <c r="C180" s="71" t="n">
        <f aca="false">Calculos!$C$176*Calculos!$C$178</f>
        <v>171309600</v>
      </c>
      <c r="D180" s="71" t="n">
        <f aca="false">Calculos!$D$176*Calculos!$D$178</f>
        <v>247028443.2</v>
      </c>
      <c r="E180" s="71" t="n">
        <f aca="false">Calculos!$E$176*Calculos!$E$178</f>
        <v>327136238.352</v>
      </c>
      <c r="F180" s="71" t="n">
        <f aca="false">Calculos!$F$176*Calculos!$F$178</f>
        <v>411828175.61424</v>
      </c>
      <c r="G180" s="71" t="n">
        <f aca="false">Calculos!$G$176*Calculos!$G$178</f>
        <v>462745113.690182</v>
      </c>
    </row>
    <row r="181" customFormat="false" ht="12.8" hidden="false" customHeight="false" outlineLevel="0" collapsed="false">
      <c r="A181" s="0" t="s">
        <v>250</v>
      </c>
      <c r="B181" s="72"/>
      <c r="C181" s="71" t="n">
        <f aca="false">Calculos!$C$176*Calculos!$C$179</f>
        <v>93453259.13856</v>
      </c>
      <c r="D181" s="71" t="n">
        <f aca="false">Calculos!$D$176*Calculos!$D$179</f>
        <v>134759599.677804</v>
      </c>
      <c r="E181" s="71" t="n">
        <f aca="false">Calculos!$E$176*Calculos!$E$179</f>
        <v>178460212.716177</v>
      </c>
      <c r="F181" s="71" t="n">
        <f aca="false">Calculos!$F$176*Calculos!$F$179</f>
        <v>224661578.897143</v>
      </c>
      <c r="G181" s="71" t="n">
        <f aca="false">Calculos!$G$176*Calculos!$G$179</f>
        <v>252437919.56079</v>
      </c>
    </row>
    <row r="182" customFormat="false" ht="12.8" hidden="false" customHeight="false" outlineLevel="0" collapsed="false">
      <c r="A182" s="0" t="s">
        <v>251</v>
      </c>
      <c r="B182" s="72"/>
      <c r="C182" s="71" t="n">
        <f aca="false">Calculos!$B$168*12*Calculos!$B$161*Calculos!$C$177</f>
        <v>50969179.2</v>
      </c>
      <c r="D182" s="71" t="n">
        <f aca="false">Calculos!$B$168*12*Calculos!$B$161*Calculos!$D$177</f>
        <v>52498254.576</v>
      </c>
      <c r="E182" s="71" t="n">
        <f aca="false">Calculos!$B$168*12*Calculos!$B$161*Calculos!$E$177</f>
        <v>54073202.21328</v>
      </c>
      <c r="F182" s="71" t="n">
        <f aca="false">Calculos!$B$168*12*Calculos!$B$161*Calculos!$F$177</f>
        <v>55695398.2796784</v>
      </c>
      <c r="G182" s="71" t="n">
        <f aca="false">Calculos!$B$168*12*Calculos!$B$161*Calculos!$G$177</f>
        <v>57366260.2280688</v>
      </c>
    </row>
    <row r="183" customFormat="false" ht="12.8" hidden="false" customHeight="false" outlineLevel="0" collapsed="false">
      <c r="A183" s="0" t="s">
        <v>252</v>
      </c>
      <c r="B183" s="72"/>
      <c r="C183" s="71" t="n">
        <f aca="false">Calculos!$C$180-Calculos!$C$181-Calculos!$C$182</f>
        <v>26887161.66144</v>
      </c>
      <c r="D183" s="71" t="n">
        <f aca="false">Calculos!$D$180-Calculos!$D$181-Calculos!$D$182</f>
        <v>59770588.9461965</v>
      </c>
      <c r="E183" s="71" t="n">
        <f aca="false">Calculos!$E$180-Calculos!$E$181-Calculos!$E$182</f>
        <v>94602823.4225431</v>
      </c>
      <c r="F183" s="71" t="n">
        <f aca="false">Calculos!$F$180-Calculos!$F$181-Calculos!$F$182</f>
        <v>131471198.437419</v>
      </c>
      <c r="G183" s="71" t="n">
        <f aca="false">Calculos!$G$180-Calculos!$G$181-Calculos!$G$182</f>
        <v>152940933.901324</v>
      </c>
    </row>
    <row r="184" customFormat="false" ht="12.8" hidden="false" customHeight="false" outlineLevel="0" collapsed="false">
      <c r="A184" s="0" t="s">
        <v>253</v>
      </c>
      <c r="B184" s="72"/>
      <c r="C184" s="71" t="n">
        <f aca="false">Calculos!$B$171</f>
        <v>4837691.438625</v>
      </c>
      <c r="D184" s="71" t="n">
        <f aca="false">Calculos!$B$171</f>
        <v>4837691.438625</v>
      </c>
      <c r="E184" s="71" t="n">
        <f aca="false">Calculos!$B$171</f>
        <v>4837691.438625</v>
      </c>
      <c r="F184" s="71" t="n">
        <f aca="false">Calculos!$B$171</f>
        <v>4837691.438625</v>
      </c>
      <c r="G184" s="71" t="n">
        <f aca="false">Calculos!$B$171</f>
        <v>4837691.438625</v>
      </c>
    </row>
    <row r="185" customFormat="false" ht="12.8" hidden="false" customHeight="false" outlineLevel="0" collapsed="false">
      <c r="A185" s="0" t="s">
        <v>254</v>
      </c>
      <c r="B185" s="72"/>
      <c r="C185" s="71" t="n">
        <f aca="false">Calculos!$C$183-Calculos!$C$184</f>
        <v>22049470.222815</v>
      </c>
      <c r="D185" s="71" t="n">
        <f aca="false">Calculos!$D$183-Calculos!$D$184</f>
        <v>54932897.5075715</v>
      </c>
      <c r="E185" s="71" t="n">
        <f aca="false">Calculos!$E$183-Calculos!$E$184</f>
        <v>89765131.9839181</v>
      </c>
      <c r="F185" s="71" t="n">
        <f aca="false">Calculos!$F$183-Calculos!$F$184</f>
        <v>126633506.998794</v>
      </c>
      <c r="G185" s="71" t="n">
        <f aca="false">Calculos!$G$183-Calculos!$G$184</f>
        <v>148103242.462699</v>
      </c>
    </row>
    <row r="186" customFormat="false" ht="12.8" hidden="false" customHeight="false" outlineLevel="0" collapsed="false">
      <c r="A186" s="0" t="s">
        <v>255</v>
      </c>
      <c r="B186" s="72"/>
      <c r="C186" s="72" t="n">
        <f aca="false">0</f>
        <v>0</v>
      </c>
      <c r="D186" s="72" t="n">
        <f aca="false">Calculos!$C$189</f>
        <v>0</v>
      </c>
      <c r="E186" s="72" t="n">
        <f aca="false">Calculos!$D$189</f>
        <v>0</v>
      </c>
      <c r="F186" s="72" t="n">
        <f aca="false">Calculos!$E$189</f>
        <v>0</v>
      </c>
      <c r="G186" s="72" t="n">
        <f aca="false">Calculos!$F$189</f>
        <v>0</v>
      </c>
    </row>
    <row r="187" customFormat="false" ht="12.8" hidden="false" customHeight="false" outlineLevel="0" collapsed="false">
      <c r="A187" s="0" t="s">
        <v>256</v>
      </c>
      <c r="B187" s="72"/>
      <c r="C187" s="72" t="n">
        <f aca="false">MAX(0,Calculos!$C$185-Calculos!$C$186)</f>
        <v>22049470.222815</v>
      </c>
      <c r="D187" s="72" t="n">
        <f aca="false">MAX(0,Calculos!$D$185-Calculos!$D$186)</f>
        <v>54932897.5075715</v>
      </c>
      <c r="E187" s="72" t="n">
        <f aca="false">MAX(0,Calculos!$E$185-Calculos!$E$186)</f>
        <v>89765131.9839181</v>
      </c>
      <c r="F187" s="72" t="n">
        <f aca="false">MAX(0,Calculos!$F$185-Calculos!$F$186)</f>
        <v>126633506.998794</v>
      </c>
      <c r="G187" s="72" t="n">
        <f aca="false">MAX(0,Calculos!$G$185-Calculos!$G$186)</f>
        <v>148103242.462699</v>
      </c>
    </row>
    <row r="188" customFormat="false" ht="12.8" hidden="false" customHeight="false" outlineLevel="0" collapsed="false">
      <c r="A188" s="0" t="s">
        <v>257</v>
      </c>
      <c r="B188" s="72"/>
      <c r="C188" s="72" t="n">
        <f aca="false">Calculos!$C$187*Inputs!$C$19</f>
        <v>2756183.77785188</v>
      </c>
      <c r="D188" s="72" t="n">
        <f aca="false">Calculos!$D$187*Inputs!$C$20</f>
        <v>8239934.62613573</v>
      </c>
      <c r="E188" s="72" t="n">
        <f aca="false">Calculos!$E$187*Inputs!$C$21</f>
        <v>22441282.9959795</v>
      </c>
      <c r="F188" s="72" t="n">
        <f aca="false">Calculos!$F$187*Inputs!$C$22</f>
        <v>31658376.7496985</v>
      </c>
      <c r="G188" s="72" t="n">
        <f aca="false">Calculos!$G$187*Inputs!$C$23</f>
        <v>37025810.6156748</v>
      </c>
    </row>
    <row r="189" customFormat="false" ht="12.8" hidden="false" customHeight="false" outlineLevel="0" collapsed="false">
      <c r="A189" s="0" t="s">
        <v>258</v>
      </c>
      <c r="B189" s="72"/>
      <c r="C189" s="72" t="n">
        <f aca="false">MAX(0,Calculos!$C$186-Calculos!$C$185)</f>
        <v>0</v>
      </c>
      <c r="D189" s="72" t="n">
        <f aca="false">MAX(0,Calculos!$D$186-Calculos!$D$185)</f>
        <v>0</v>
      </c>
      <c r="E189" s="72" t="n">
        <f aca="false">MAX(0,Calculos!$E$186-Calculos!$E$185)</f>
        <v>0</v>
      </c>
      <c r="F189" s="72" t="n">
        <f aca="false">MAX(0,Calculos!$F$186-Calculos!$F$185)</f>
        <v>0</v>
      </c>
      <c r="G189" s="72" t="n">
        <f aca="false">MAX(0,Calculos!$G$186-Calculos!$G$185)</f>
        <v>0</v>
      </c>
    </row>
    <row r="190" customFormat="false" ht="12.8" hidden="false" customHeight="false" outlineLevel="0" collapsed="false">
      <c r="A190" s="0" t="s">
        <v>259</v>
      </c>
      <c r="B190" s="72"/>
      <c r="C190" s="71" t="n">
        <f aca="false">Calculos!$C$180*Inputs!$C$48/365+Calculos!$C$181*Inputs!$C$49/365-Calculos!$C$181*Inputs!$C$50/365</f>
        <v>17920785.9919956</v>
      </c>
      <c r="D190" s="71" t="n">
        <f aca="false">Calculos!$D$180*Inputs!$C$48/365+Calculos!$D$181*Inputs!$C$49/365-Calculos!$D$181*Inputs!$C$50/365</f>
        <v>25841773.4004577</v>
      </c>
      <c r="E190" s="71" t="n">
        <f aca="false">Calculos!$E$180*Inputs!$C$48/365+Calculos!$E$181*Inputs!$C$49/365-Calculos!$E$181*Inputs!$C$50/365</f>
        <v>34221891.3460347</v>
      </c>
      <c r="F190" s="71" t="n">
        <f aca="false">Calculos!$F$180*Inputs!$C$48/365+Calculos!$F$181*Inputs!$C$49/365-Calculos!$F$181*Inputs!$C$50/365</f>
        <v>43081558.7722859</v>
      </c>
      <c r="G190" s="71" t="n">
        <f aca="false">Calculos!$G$180*Inputs!$C$48/365+Calculos!$G$181*Inputs!$C$49/365-Calculos!$G$181*Inputs!$C$50/365</f>
        <v>48408006.0386776</v>
      </c>
    </row>
    <row r="191" customFormat="false" ht="12.8" hidden="false" customHeight="false" outlineLevel="0" collapsed="false">
      <c r="A191" s="0" t="s">
        <v>260</v>
      </c>
      <c r="B191" s="72"/>
      <c r="C191" s="71" t="n">
        <f aca="false">Calculos!$C$190-Calculos!$C$190</f>
        <v>0</v>
      </c>
      <c r="D191" s="71" t="n">
        <f aca="false">Calculos!$D$190-Calculos!$C$190</f>
        <v>7920987.40846207</v>
      </c>
      <c r="E191" s="71" t="n">
        <f aca="false">Calculos!$E$190-Calculos!$D$190</f>
        <v>8380117.94557698</v>
      </c>
      <c r="F191" s="71" t="n">
        <f aca="false">Calculos!$F$190-Calculos!$E$190</f>
        <v>8859667.4262512</v>
      </c>
      <c r="G191" s="71" t="n">
        <f aca="false">Calculos!$G$190-Calculos!$F$190</f>
        <v>5326447.2663917</v>
      </c>
    </row>
    <row r="192" customFormat="false" ht="12.8" hidden="false" customHeight="false" outlineLevel="0" collapsed="false">
      <c r="A192" s="0" t="s">
        <v>261</v>
      </c>
      <c r="B192" s="72"/>
      <c r="C192" s="72" t="n">
        <f aca="false">0</f>
        <v>0</v>
      </c>
      <c r="D192" s="72" t="n">
        <f aca="false">0</f>
        <v>0</v>
      </c>
      <c r="E192" s="72" t="n">
        <f aca="false">0</f>
        <v>0</v>
      </c>
      <c r="F192" s="72" t="n">
        <f aca="false">0</f>
        <v>0</v>
      </c>
      <c r="G192" s="71" t="n">
        <f aca="false">Calculos!$B$172*(1-Inputs!$C$23)+Calculos!$G$190+Calculos!$B$173</f>
        <v>51741580.328162</v>
      </c>
    </row>
    <row r="193" customFormat="false" ht="12.8" hidden="false" customHeight="false" outlineLevel="0" collapsed="false">
      <c r="A193" s="0" t="s">
        <v>262</v>
      </c>
      <c r="B193" s="71" t="n">
        <f aca="false">-(Calculos!$B$170+Calculos!$B$173+Calculos!$C$190)</f>
        <v>-46003683.1851206</v>
      </c>
      <c r="C193" s="71" t="n">
        <f aca="false">Calculos!$C$183-Calculos!$C$188-Calculos!$C$191+Calculos!$C$192</f>
        <v>24130977.8835881</v>
      </c>
      <c r="D193" s="71" t="n">
        <f aca="false">Calculos!$D$183-Calculos!$D$188-Calculos!$D$191+Calculos!$D$192</f>
        <v>43609666.9115987</v>
      </c>
      <c r="E193" s="71" t="n">
        <f aca="false">Calculos!$E$183-Calculos!$E$188-Calculos!$E$191+Calculos!$E$192</f>
        <v>63781422.4809866</v>
      </c>
      <c r="F193" s="71" t="n">
        <f aca="false">Calculos!$F$183-Calculos!$F$188-Calculos!$F$191+Calculos!$F$192</f>
        <v>90953154.2614692</v>
      </c>
      <c r="G193" s="71" t="n">
        <f aca="false">Calculos!$G$183-Calculos!$G$188-Calculos!$G$191+Calculos!$G$192</f>
        <v>162330256.34742</v>
      </c>
    </row>
    <row r="194" customFormat="false" ht="12.8" hidden="false" customHeight="false" outlineLevel="0" collapsed="false">
      <c r="A194" s="0" t="s">
        <v>263</v>
      </c>
      <c r="B194" s="72" t="n">
        <v>1</v>
      </c>
      <c r="C194" s="72" t="n">
        <f aca="false">1/(1+Inputs!$C$7)^1</f>
        <v>0.869565217391304</v>
      </c>
      <c r="D194" s="72" t="n">
        <f aca="false">1/(1+Inputs!$C$7)^2</f>
        <v>0.756143667296787</v>
      </c>
      <c r="E194" s="72" t="n">
        <f aca="false">1/(1+Inputs!$C$7)^3</f>
        <v>0.657516232431988</v>
      </c>
      <c r="F194" s="72" t="n">
        <f aca="false">1/(1+Inputs!$C$7)^4</f>
        <v>0.571753245593033</v>
      </c>
      <c r="G194" s="72" t="n">
        <f aca="false">1/(1+Inputs!$C$7)^5</f>
        <v>0.49717673529829</v>
      </c>
    </row>
    <row r="195" customFormat="false" ht="12.8" hidden="false" customHeight="false" outlineLevel="0" collapsed="false">
      <c r="A195" s="0" t="s">
        <v>264</v>
      </c>
      <c r="B195" s="71" t="n">
        <f aca="false">Calculos!$B$193</f>
        <v>-46003683.1851206</v>
      </c>
      <c r="C195" s="71" t="n">
        <f aca="false">Calculos!$C$193*Calculos!$C$194</f>
        <v>20983459.0292071</v>
      </c>
      <c r="D195" s="71" t="n">
        <f aca="false">Calculos!$D$193*Calculos!$D$194</f>
        <v>32975173.4681276</v>
      </c>
      <c r="E195" s="71" t="n">
        <f aca="false">Calculos!$E$193*Calculos!$E$194</f>
        <v>41937320.6088512</v>
      </c>
      <c r="F195" s="71" t="n">
        <f aca="false">Calculos!$F$193*Calculos!$F$194</f>
        <v>52002761.1459189</v>
      </c>
      <c r="G195" s="71" t="n">
        <f aca="false">Calculos!$G$193*Calculos!$G$194</f>
        <v>80706826.8909446</v>
      </c>
    </row>
    <row r="196" customFormat="false" ht="12.8" hidden="false" customHeight="false" outlineLevel="0" collapsed="false">
      <c r="A196" s="0" t="s">
        <v>265</v>
      </c>
      <c r="B196" s="71" t="n">
        <f aca="false">Calculos!$B$193</f>
        <v>-46003683.1851206</v>
      </c>
      <c r="C196" s="71" t="n">
        <f aca="false">Calculos!$B$196+Calculos!$C$193</f>
        <v>-21872705.3015325</v>
      </c>
      <c r="D196" s="71" t="n">
        <f aca="false">Calculos!$C$196+Calculos!$D$193</f>
        <v>21736961.6100662</v>
      </c>
      <c r="E196" s="71" t="n">
        <f aca="false">Calculos!$D$196+Calculos!$E$193</f>
        <v>85518384.0910528</v>
      </c>
      <c r="F196" s="71" t="n">
        <f aca="false">Calculos!$E$196+Calculos!$F$193</f>
        <v>176471538.352522</v>
      </c>
      <c r="G196" s="71" t="n">
        <f aca="false">Calculos!$F$196+Calculos!$G$193</f>
        <v>338801794.699942</v>
      </c>
    </row>
    <row r="197" customFormat="false" ht="12.8" hidden="false" customHeight="false" outlineLevel="0" collapsed="false">
      <c r="A197" s="0" t="s">
        <v>266</v>
      </c>
      <c r="B197" s="71" t="n">
        <f aca="false">Calculos!$B$195</f>
        <v>-46003683.1851206</v>
      </c>
      <c r="C197" s="71" t="n">
        <f aca="false">Calculos!$B$197+Calculos!$C$195</f>
        <v>-25020224.1559135</v>
      </c>
      <c r="D197" s="71" t="n">
        <f aca="false">Calculos!$C$197+Calculos!$D$195</f>
        <v>7954949.31221402</v>
      </c>
      <c r="E197" s="71" t="n">
        <f aca="false">Calculos!$D$197+Calculos!$E$195</f>
        <v>49892269.9210652</v>
      </c>
      <c r="F197" s="71" t="n">
        <f aca="false">Calculos!$E$197+Calculos!$F$195</f>
        <v>101895031.066984</v>
      </c>
      <c r="G197" s="71" t="n">
        <f aca="false">Calculos!$F$197+Calculos!$G$195</f>
        <v>182601857.957929</v>
      </c>
    </row>
    <row r="199" customFormat="false" ht="12.8" hidden="false" customHeight="false" outlineLevel="0" collapsed="false">
      <c r="A199" s="0" t="s">
        <v>3</v>
      </c>
      <c r="B199" s="72" t="n">
        <f aca="false">-Calculos!$B$193</f>
        <v>46003683.1851206</v>
      </c>
    </row>
    <row r="200" customFormat="false" ht="12.8" hidden="false" customHeight="false" outlineLevel="0" collapsed="false">
      <c r="A200" s="0" t="s">
        <v>7</v>
      </c>
      <c r="B200" s="71" t="n">
        <f aca="false">SUM(Calculos!$B$195:$G$195)</f>
        <v>182601857.957929</v>
      </c>
    </row>
    <row r="201" customFormat="false" ht="12.8" hidden="false" customHeight="false" outlineLevel="0" collapsed="false">
      <c r="A201" s="0" t="s">
        <v>9</v>
      </c>
      <c r="B201" s="73" t="n">
        <f aca="false">IFERROR(IRR(Calculos!$B$193:$G$193),-1)</f>
        <v>0.925103050541416</v>
      </c>
    </row>
    <row r="202" customFormat="false" ht="12.8" hidden="false" customHeight="false" outlineLevel="0" collapsed="false">
      <c r="A202" s="0" t="s">
        <v>10</v>
      </c>
      <c r="B202" s="0" t="n">
        <f aca="false">IFERROR(IF(Calculos!$C$197&gt;=0,0+(-Calculos!$B$197/Calculos!$C$195),IF(Calculos!$D$197&gt;=0,1+(-Calculos!$C$197/Calculos!$D$195),IF(Calculos!$E$197&gt;=0,2+(-Calculos!$D$197/Calculos!$E$195),IF(Calculos!$F$197&gt;=0,3+(-Calculos!$E$197/Calculos!$F$195),IF(Calculos!$G$197&gt;=0,4+(-Calculos!$F$197/Calculos!$G$195),NA()))))),99)</f>
        <v>1.75875944004046</v>
      </c>
    </row>
    <row r="203" customFormat="false" ht="12.8" hidden="false" customHeight="false" outlineLevel="0" collapsed="false">
      <c r="A203" s="0" t="s">
        <v>12</v>
      </c>
      <c r="B203" s="0" t="n">
        <f aca="false">(Calculos!$C$195+Calculos!$D$195+Calculos!$E$195+Calculos!$F$195+Calculos!$G$195)/(-Calculos!$B$193)</f>
        <v>4.96928778991742</v>
      </c>
    </row>
    <row r="204" customFormat="false" ht="12.8" hidden="false" customHeight="false" outlineLevel="0" collapsed="false">
      <c r="A204" s="0" t="s">
        <v>5</v>
      </c>
      <c r="B204" s="71" t="n">
        <f aca="false">-MIN(Calculos!$B$196:$G$196)</f>
        <v>46003683.1851206</v>
      </c>
    </row>
    <row r="205" customFormat="false" ht="12.8" hidden="false" customHeight="false" outlineLevel="0" collapsed="false">
      <c r="A205" s="0" t="s">
        <v>13</v>
      </c>
      <c r="B205" s="0" t="n">
        <f aca="false">IF((Calculos!$C$178-Calculos!$C$179)&gt;0,Calculos!$C$182/(Calculos!$C$178-Calculos!$C$179)/12,NA())</f>
        <v>1963.97025480722</v>
      </c>
    </row>
    <row r="208" customFormat="false" ht="12.8" hidden="false" customHeight="false" outlineLevel="0" collapsed="false">
      <c r="A208" s="69" t="s">
        <v>298</v>
      </c>
      <c r="B208" s="69"/>
      <c r="C208" s="69"/>
      <c r="D208" s="69"/>
      <c r="E208" s="69"/>
      <c r="F208" s="69"/>
      <c r="G208" s="69"/>
    </row>
    <row r="209" customFormat="false" ht="12.8" hidden="false" customHeight="false" outlineLevel="0" collapsed="false">
      <c r="A209" s="0" t="s">
        <v>248</v>
      </c>
      <c r="B209" s="74" t="n">
        <f aca="false">Inputs!$C$84</f>
        <v>0.9</v>
      </c>
    </row>
    <row r="210" customFormat="false" ht="12.8" hidden="false" customHeight="false" outlineLevel="0" collapsed="false">
      <c r="A210" s="0" t="s">
        <v>247</v>
      </c>
      <c r="B210" s="74" t="n">
        <f aca="false">Inputs!$C$86</f>
        <v>0.8</v>
      </c>
    </row>
    <row r="211" customFormat="false" ht="12.8" hidden="false" customHeight="false" outlineLevel="0" collapsed="false">
      <c r="A211" s="0" t="s">
        <v>280</v>
      </c>
      <c r="B211" s="0" t="n">
        <f aca="false">1</f>
        <v>1</v>
      </c>
    </row>
    <row r="212" customFormat="false" ht="12.8" hidden="false" customHeight="false" outlineLevel="0" collapsed="false">
      <c r="A212" s="0" t="s">
        <v>281</v>
      </c>
      <c r="B212" s="0" t="n">
        <f aca="false">1</f>
        <v>1</v>
      </c>
    </row>
    <row r="213" customFormat="false" ht="12.8" hidden="false" customHeight="false" outlineLevel="0" collapsed="false">
      <c r="A213" s="0" t="s">
        <v>282</v>
      </c>
      <c r="B213" s="0" t="n">
        <f aca="false">1</f>
        <v>1</v>
      </c>
    </row>
    <row r="215" customFormat="false" ht="12.8" hidden="false" customHeight="false" outlineLevel="0" collapsed="false">
      <c r="A215" s="0" t="s">
        <v>283</v>
      </c>
      <c r="B215" s="71" t="n">
        <f aca="false">Inputs!$C$52+Inputs!$C$53+Inputs!$C$54+Inputs!$C$55+Inputs!$C$56+Inputs!$C$57+Inputs!$C$58+Inputs!$C$59</f>
        <v>8817795</v>
      </c>
    </row>
    <row r="216" customFormat="false" ht="12.8" hidden="false" customHeight="false" outlineLevel="0" collapsed="false">
      <c r="A216" s="0" t="s">
        <v>284</v>
      </c>
      <c r="B216" s="71" t="n">
        <f aca="false">Calculos!$B$215*Inputs!$C$60</f>
        <v>1322669.25</v>
      </c>
    </row>
    <row r="217" customFormat="false" ht="12.8" hidden="false" customHeight="false" outlineLevel="0" collapsed="false">
      <c r="A217" s="0" t="s">
        <v>285</v>
      </c>
      <c r="B217" s="72" t="n">
        <f aca="false">IF(Inputs!$C$40&gt;0,Inputs!$C$40,Inputs!$C$38*Inputs!$C$39)</f>
        <v>759720</v>
      </c>
    </row>
    <row r="218" customFormat="false" ht="12.8" hidden="false" customHeight="false" outlineLevel="0" collapsed="false">
      <c r="A218" s="0" t="s">
        <v>286</v>
      </c>
      <c r="B218" s="71" t="n">
        <f aca="false">((Inputs!$C$25*Inputs!$C$34+Inputs!$C$26*Inputs!$C$35+Inputs!$C$27*Inputs!$C$36+Inputs!$C$28)*(1+Inputs!$C$32)+Inputs!$C$29+Inputs!$C$30+Inputs!$C$31)</f>
        <v>2652.96256</v>
      </c>
    </row>
    <row r="219" customFormat="false" ht="12.8" hidden="false" customHeight="false" outlineLevel="0" collapsed="false">
      <c r="A219" s="0" t="s">
        <v>287</v>
      </c>
      <c r="B219" s="71" t="n">
        <f aca="false">(Calculos!$B$217+Inputs!$C$41*Inputs!$C$42+Inputs!$C$43+Inputs!$C$44+Inputs!$C$45+Inputs!$C$46+Inputs!$C$47)</f>
        <v>4123720</v>
      </c>
    </row>
    <row r="220" customFormat="false" ht="12.8" hidden="false" customHeight="false" outlineLevel="0" collapsed="false">
      <c r="A220" s="0" t="s">
        <v>288</v>
      </c>
      <c r="B220" s="71" t="n">
        <f aca="false">(Calculos!$B$215+Calculos!$B$216+Inputs!$C$61)*(1+Inputs!$C$64)*Calculos!$B$213</f>
        <v>25461533.8875</v>
      </c>
    </row>
    <row r="221" customFormat="false" ht="12.8" hidden="false" customHeight="false" outlineLevel="0" collapsed="false">
      <c r="A221" s="0" t="s">
        <v>289</v>
      </c>
      <c r="B221" s="71" t="n">
        <f aca="false">Calculos!$B$220+(Inputs!$C$62+Inputs!$C$63)*Calculos!$B$213</f>
        <v>27961533.8875</v>
      </c>
    </row>
    <row r="222" customFormat="false" ht="12.8" hidden="false" customHeight="false" outlineLevel="0" collapsed="false">
      <c r="A222" s="0" t="s">
        <v>290</v>
      </c>
      <c r="B222" s="71" t="n">
        <f aca="false">Calculos!$B$220/Inputs!$C$66</f>
        <v>5092306.7775</v>
      </c>
    </row>
    <row r="223" customFormat="false" ht="12.8" hidden="false" customHeight="false" outlineLevel="0" collapsed="false">
      <c r="A223" s="0" t="s">
        <v>291</v>
      </c>
      <c r="B223" s="71" t="n">
        <f aca="false">Calculos!$B$220*Inputs!$C$67</f>
        <v>2546153.38875</v>
      </c>
    </row>
    <row r="224" customFormat="false" ht="12.8" hidden="false" customHeight="false" outlineLevel="0" collapsed="false">
      <c r="A224" s="0" t="s">
        <v>292</v>
      </c>
      <c r="B224" s="72" t="n">
        <f aca="false">Calculos!$B$217*Inputs!$C$65</f>
        <v>1519440</v>
      </c>
    </row>
    <row r="226" customFormat="false" ht="18.45" hidden="false" customHeight="true" outlineLevel="0" collapsed="false">
      <c r="A226" s="13" t="s">
        <v>226</v>
      </c>
      <c r="B226" s="13" t="s">
        <v>241</v>
      </c>
      <c r="C226" s="13" t="s">
        <v>242</v>
      </c>
      <c r="D226" s="13" t="s">
        <v>243</v>
      </c>
      <c r="E226" s="13" t="s">
        <v>244</v>
      </c>
      <c r="F226" s="13" t="s">
        <v>245</v>
      </c>
      <c r="G226" s="13" t="s">
        <v>246</v>
      </c>
    </row>
    <row r="227" customFormat="false" ht="12.8" hidden="false" customHeight="false" outlineLevel="0" collapsed="false">
      <c r="A227" s="0" t="s">
        <v>247</v>
      </c>
      <c r="C227" s="0" t="n">
        <f aca="false">Inputs!$C$13*Calculos!$B$210</f>
        <v>24000</v>
      </c>
      <c r="D227" s="0" t="n">
        <f aca="false">Inputs!$C$14*Calculos!$B$210</f>
        <v>33600</v>
      </c>
      <c r="E227" s="0" t="n">
        <f aca="false">Inputs!$C$15*Calculos!$B$210</f>
        <v>43200</v>
      </c>
      <c r="F227" s="0" t="n">
        <f aca="false">Inputs!$C$16*Calculos!$B$210</f>
        <v>52800</v>
      </c>
      <c r="G227" s="0" t="n">
        <f aca="false">Inputs!$C$17*Calculos!$B$210</f>
        <v>57600</v>
      </c>
    </row>
    <row r="228" customFormat="false" ht="12.8" hidden="false" customHeight="false" outlineLevel="0" collapsed="false">
      <c r="A228" s="0" t="s">
        <v>293</v>
      </c>
      <c r="C228" s="0" t="n">
        <f aca="false">(1+Inputs!$C$8)^1</f>
        <v>1.03</v>
      </c>
      <c r="D228" s="0" t="n">
        <f aca="false">(1+Inputs!$C$8)^2</f>
        <v>1.0609</v>
      </c>
      <c r="E228" s="0" t="n">
        <f aca="false">(1+Inputs!$C$8)^3</f>
        <v>1.092727</v>
      </c>
      <c r="F228" s="0" t="n">
        <f aca="false">(1+Inputs!$C$8)^4</f>
        <v>1.12550881</v>
      </c>
      <c r="G228" s="0" t="n">
        <f aca="false">(1+Inputs!$C$8)^5</f>
        <v>1.1592740743</v>
      </c>
    </row>
    <row r="229" customFormat="false" ht="12.8" hidden="false" customHeight="false" outlineLevel="0" collapsed="false">
      <c r="A229" s="0" t="s">
        <v>248</v>
      </c>
      <c r="B229" s="72"/>
      <c r="C229" s="71" t="n">
        <f aca="false">Inputs!$C$12*Calculos!$B$209*Calculos!$C$228</f>
        <v>3893.4</v>
      </c>
      <c r="D229" s="71" t="n">
        <f aca="false">Inputs!$C$12*Calculos!$B$209*Calculos!$D$228</f>
        <v>4010.202</v>
      </c>
      <c r="E229" s="71" t="n">
        <f aca="false">Inputs!$C$12*Calculos!$B$209*Calculos!$E$228</f>
        <v>4130.50806</v>
      </c>
      <c r="F229" s="71" t="n">
        <f aca="false">Inputs!$C$12*Calculos!$B$209*Calculos!$F$228</f>
        <v>4254.4233018</v>
      </c>
      <c r="G229" s="71" t="n">
        <f aca="false">Inputs!$C$12*Calculos!$B$209*Calculos!$G$228</f>
        <v>4382.056000854</v>
      </c>
    </row>
    <row r="230" customFormat="false" ht="12.8" hidden="false" customHeight="false" outlineLevel="0" collapsed="false">
      <c r="A230" s="0" t="s">
        <v>294</v>
      </c>
      <c r="B230" s="72"/>
      <c r="C230" s="71" t="n">
        <f aca="false">Calculos!$B$218*Calculos!$B$211*Calculos!$C$228</f>
        <v>2732.5514368</v>
      </c>
      <c r="D230" s="71" t="n">
        <f aca="false">Calculos!$B$218*Calculos!$B$211*Calculos!$D$228</f>
        <v>2814.527979904</v>
      </c>
      <c r="E230" s="71" t="n">
        <f aca="false">Calculos!$B$218*Calculos!$B$211*Calculos!$E$228</f>
        <v>2898.96381930112</v>
      </c>
      <c r="F230" s="71" t="n">
        <f aca="false">Calculos!$B$218*Calculos!$B$211*Calculos!$F$228</f>
        <v>2985.93273388015</v>
      </c>
      <c r="G230" s="71" t="n">
        <f aca="false">Calculos!$B$218*Calculos!$B$211*Calculos!$G$228</f>
        <v>3075.51071589656</v>
      </c>
    </row>
    <row r="231" customFormat="false" ht="12.8" hidden="false" customHeight="false" outlineLevel="0" collapsed="false">
      <c r="A231" s="0" t="s">
        <v>249</v>
      </c>
      <c r="B231" s="72"/>
      <c r="C231" s="71" t="n">
        <f aca="false">Calculos!$C$227*Calculos!$C$229</f>
        <v>93441600</v>
      </c>
      <c r="D231" s="71" t="n">
        <f aca="false">Calculos!$D$227*Calculos!$D$229</f>
        <v>134742787.2</v>
      </c>
      <c r="E231" s="71" t="n">
        <f aca="false">Calculos!$E$227*Calculos!$E$229</f>
        <v>178437948.192</v>
      </c>
      <c r="F231" s="71" t="n">
        <f aca="false">Calculos!$F$227*Calculos!$F$229</f>
        <v>224633550.33504</v>
      </c>
      <c r="G231" s="71" t="n">
        <f aca="false">Calculos!$G$227*Calculos!$G$229</f>
        <v>252406425.64919</v>
      </c>
    </row>
    <row r="232" customFormat="false" ht="12.8" hidden="false" customHeight="false" outlineLevel="0" collapsed="false">
      <c r="A232" s="0" t="s">
        <v>250</v>
      </c>
      <c r="B232" s="72"/>
      <c r="C232" s="71" t="n">
        <f aca="false">Calculos!$C$227*Calculos!$C$230</f>
        <v>65581234.4832</v>
      </c>
      <c r="D232" s="71" t="n">
        <f aca="false">Calculos!$D$227*Calculos!$D$230</f>
        <v>94568140.1247744</v>
      </c>
      <c r="E232" s="71" t="n">
        <f aca="false">Calculos!$E$227*Calculos!$E$230</f>
        <v>125235236.993808</v>
      </c>
      <c r="F232" s="71" t="n">
        <f aca="false">Calculos!$F$227*Calculos!$F$230</f>
        <v>157657248.348872</v>
      </c>
      <c r="G232" s="71" t="n">
        <f aca="false">Calculos!$G$227*Calculos!$G$230</f>
        <v>177149417.235642</v>
      </c>
    </row>
    <row r="233" customFormat="false" ht="12.8" hidden="false" customHeight="false" outlineLevel="0" collapsed="false">
      <c r="A233" s="0" t="s">
        <v>251</v>
      </c>
      <c r="B233" s="72"/>
      <c r="C233" s="71" t="n">
        <f aca="false">Calculos!$B$219*12*Calculos!$B$212*Calculos!$C$228</f>
        <v>50969179.2</v>
      </c>
      <c r="D233" s="71" t="n">
        <f aca="false">Calculos!$B$219*12*Calculos!$B$212*Calculos!$D$228</f>
        <v>52498254.576</v>
      </c>
      <c r="E233" s="71" t="n">
        <f aca="false">Calculos!$B$219*12*Calculos!$B$212*Calculos!$E$228</f>
        <v>54073202.21328</v>
      </c>
      <c r="F233" s="71" t="n">
        <f aca="false">Calculos!$B$219*12*Calculos!$B$212*Calculos!$F$228</f>
        <v>55695398.2796784</v>
      </c>
      <c r="G233" s="71" t="n">
        <f aca="false">Calculos!$B$219*12*Calculos!$B$212*Calculos!$G$228</f>
        <v>57366260.2280688</v>
      </c>
    </row>
    <row r="234" customFormat="false" ht="12.8" hidden="false" customHeight="false" outlineLevel="0" collapsed="false">
      <c r="A234" s="0" t="s">
        <v>252</v>
      </c>
      <c r="B234" s="72"/>
      <c r="C234" s="71" t="n">
        <f aca="false">Calculos!$C$231-Calculos!$C$232-Calculos!$C$233</f>
        <v>-23108813.6832</v>
      </c>
      <c r="D234" s="71" t="n">
        <f aca="false">Calculos!$D$231-Calculos!$D$232-Calculos!$D$233</f>
        <v>-12323607.5007744</v>
      </c>
      <c r="E234" s="71" t="n">
        <f aca="false">Calculos!$E$231-Calculos!$E$232-Calculos!$E$233</f>
        <v>-870491.015088387</v>
      </c>
      <c r="F234" s="71" t="n">
        <f aca="false">Calculos!$F$231-Calculos!$F$232-Calculos!$F$233</f>
        <v>11280903.7064895</v>
      </c>
      <c r="G234" s="71" t="n">
        <f aca="false">Calculos!$G$231-Calculos!$G$232-Calculos!$G$233</f>
        <v>17890748.1854799</v>
      </c>
    </row>
    <row r="235" customFormat="false" ht="12.8" hidden="false" customHeight="false" outlineLevel="0" collapsed="false">
      <c r="A235" s="0" t="s">
        <v>253</v>
      </c>
      <c r="B235" s="72"/>
      <c r="C235" s="71" t="n">
        <f aca="false">Calculos!$B$222</f>
        <v>5092306.7775</v>
      </c>
      <c r="D235" s="71" t="n">
        <f aca="false">Calculos!$B$222</f>
        <v>5092306.7775</v>
      </c>
      <c r="E235" s="71" t="n">
        <f aca="false">Calculos!$B$222</f>
        <v>5092306.7775</v>
      </c>
      <c r="F235" s="71" t="n">
        <f aca="false">Calculos!$B$222</f>
        <v>5092306.7775</v>
      </c>
      <c r="G235" s="71" t="n">
        <f aca="false">Calculos!$B$222</f>
        <v>5092306.7775</v>
      </c>
    </row>
    <row r="236" customFormat="false" ht="12.8" hidden="false" customHeight="false" outlineLevel="0" collapsed="false">
      <c r="A236" s="0" t="s">
        <v>254</v>
      </c>
      <c r="B236" s="72"/>
      <c r="C236" s="71" t="n">
        <f aca="false">Calculos!$C$234-Calculos!$C$235</f>
        <v>-28201120.4607</v>
      </c>
      <c r="D236" s="71" t="n">
        <f aca="false">Calculos!$D$234-Calculos!$D$235</f>
        <v>-17415914.2782744</v>
      </c>
      <c r="E236" s="71" t="n">
        <f aca="false">Calculos!$E$234-Calculos!$E$235</f>
        <v>-5962797.79258839</v>
      </c>
      <c r="F236" s="71" t="n">
        <f aca="false">Calculos!$F$234-Calculos!$F$235</f>
        <v>6188596.9289895</v>
      </c>
      <c r="G236" s="71" t="n">
        <f aca="false">Calculos!$G$234-Calculos!$G$235</f>
        <v>12798441.4079799</v>
      </c>
    </row>
    <row r="237" customFormat="false" ht="12.8" hidden="false" customHeight="false" outlineLevel="0" collapsed="false">
      <c r="A237" s="0" t="s">
        <v>255</v>
      </c>
      <c r="B237" s="72"/>
      <c r="C237" s="72" t="n">
        <f aca="false">0</f>
        <v>0</v>
      </c>
      <c r="D237" s="72" t="n">
        <f aca="false">Calculos!$C$240</f>
        <v>28201120.4607</v>
      </c>
      <c r="E237" s="72" t="n">
        <f aca="false">Calculos!$D$240</f>
        <v>45617034.7389744</v>
      </c>
      <c r="F237" s="72" t="n">
        <f aca="false">Calculos!$E$240</f>
        <v>51579832.5315628</v>
      </c>
      <c r="G237" s="72" t="n">
        <f aca="false">Calculos!$F$240</f>
        <v>45391235.6025733</v>
      </c>
    </row>
    <row r="238" customFormat="false" ht="12.8" hidden="false" customHeight="false" outlineLevel="0" collapsed="false">
      <c r="A238" s="0" t="s">
        <v>256</v>
      </c>
      <c r="B238" s="72"/>
      <c r="C238" s="72" t="n">
        <f aca="false">MAX(0,Calculos!$C$236-Calculos!$C$237)</f>
        <v>0</v>
      </c>
      <c r="D238" s="72" t="n">
        <f aca="false">MAX(0,Calculos!$D$236-Calculos!$D$237)</f>
        <v>0</v>
      </c>
      <c r="E238" s="72" t="n">
        <f aca="false">MAX(0,Calculos!$E$236-Calculos!$E$237)</f>
        <v>0</v>
      </c>
      <c r="F238" s="72" t="n">
        <f aca="false">MAX(0,Calculos!$F$236-Calculos!$F$237)</f>
        <v>0</v>
      </c>
      <c r="G238" s="72" t="n">
        <f aca="false">MAX(0,Calculos!$G$236-Calculos!$G$237)</f>
        <v>0</v>
      </c>
    </row>
    <row r="239" customFormat="false" ht="12.8" hidden="false" customHeight="false" outlineLevel="0" collapsed="false">
      <c r="A239" s="0" t="s">
        <v>257</v>
      </c>
      <c r="B239" s="72"/>
      <c r="C239" s="72" t="n">
        <f aca="false">Calculos!$C$238*Inputs!$C$19</f>
        <v>0</v>
      </c>
      <c r="D239" s="72" t="n">
        <f aca="false">Calculos!$D$238*Inputs!$C$20</f>
        <v>0</v>
      </c>
      <c r="E239" s="72" t="n">
        <f aca="false">Calculos!$E$238*Inputs!$C$21</f>
        <v>0</v>
      </c>
      <c r="F239" s="72" t="n">
        <f aca="false">Calculos!$F$238*Inputs!$C$22</f>
        <v>0</v>
      </c>
      <c r="G239" s="72" t="n">
        <f aca="false">Calculos!$G$238*Inputs!$C$23</f>
        <v>0</v>
      </c>
    </row>
    <row r="240" customFormat="false" ht="12.8" hidden="false" customHeight="false" outlineLevel="0" collapsed="false">
      <c r="A240" s="0" t="s">
        <v>258</v>
      </c>
      <c r="B240" s="72"/>
      <c r="C240" s="72" t="n">
        <f aca="false">MAX(0,Calculos!$C$237-Calculos!$C$236)</f>
        <v>28201120.4607</v>
      </c>
      <c r="D240" s="72" t="n">
        <f aca="false">MAX(0,Calculos!$D$237-Calculos!$D$236)</f>
        <v>45617034.7389744</v>
      </c>
      <c r="E240" s="72" t="n">
        <f aca="false">MAX(0,Calculos!$E$237-Calculos!$E$236)</f>
        <v>51579832.5315628</v>
      </c>
      <c r="F240" s="72" t="n">
        <f aca="false">MAX(0,Calculos!$F$237-Calculos!$F$236)</f>
        <v>45391235.6025733</v>
      </c>
      <c r="G240" s="72" t="n">
        <f aca="false">MAX(0,Calculos!$G$237-Calculos!$G$236)</f>
        <v>32592794.1945934</v>
      </c>
    </row>
    <row r="241" customFormat="false" ht="12.8" hidden="false" customHeight="false" outlineLevel="0" collapsed="false">
      <c r="A241" s="0" t="s">
        <v>259</v>
      </c>
      <c r="B241" s="72"/>
      <c r="C241" s="71" t="n">
        <f aca="false">Calculos!$C$231*Inputs!$C$48/365+Calculos!$C$232*Inputs!$C$49/365-Calculos!$C$232*Inputs!$C$50/365</f>
        <v>10375250.7321863</v>
      </c>
      <c r="D241" s="71" t="n">
        <f aca="false">Calculos!$D$231*Inputs!$C$48/365+Calculos!$D$232*Inputs!$C$49/365-Calculos!$D$232*Inputs!$C$50/365</f>
        <v>14961111.5558126</v>
      </c>
      <c r="E241" s="71" t="n">
        <f aca="false">Calculos!$E$231*Inputs!$C$48/365+Calculos!$E$232*Inputs!$C$49/365-Calculos!$E$232*Inputs!$C$50/365</f>
        <v>19812786.3031976</v>
      </c>
      <c r="F241" s="71" t="n">
        <f aca="false">Calculos!$F$231*Inputs!$C$48/365+Calculos!$F$232*Inputs!$C$49/365-Calculos!$F$232*Inputs!$C$50/365</f>
        <v>24942096.5350254</v>
      </c>
      <c r="G241" s="71" t="n">
        <f aca="false">Calculos!$G$231*Inputs!$C$48/365+Calculos!$G$232*Inputs!$C$49/365-Calculos!$G$232*Inputs!$C$50/365</f>
        <v>28025846.6520831</v>
      </c>
    </row>
    <row r="242" customFormat="false" ht="12.8" hidden="false" customHeight="false" outlineLevel="0" collapsed="false">
      <c r="A242" s="0" t="s">
        <v>260</v>
      </c>
      <c r="B242" s="72"/>
      <c r="C242" s="71" t="n">
        <f aca="false">Calculos!$C$241-Calculos!$C$241</f>
        <v>0</v>
      </c>
      <c r="D242" s="71" t="n">
        <f aca="false">Calculos!$D$241-Calculos!$C$241</f>
        <v>4585860.82362634</v>
      </c>
      <c r="E242" s="71" t="n">
        <f aca="false">Calculos!$E$241-Calculos!$D$241</f>
        <v>4851674.74738496</v>
      </c>
      <c r="F242" s="71" t="n">
        <f aca="false">Calculos!$F$241-Calculos!$E$241</f>
        <v>5129310.23182783</v>
      </c>
      <c r="G242" s="71" t="n">
        <f aca="false">Calculos!$G$241-Calculos!$F$241</f>
        <v>3083750.11705769</v>
      </c>
    </row>
    <row r="243" customFormat="false" ht="12.8" hidden="false" customHeight="false" outlineLevel="0" collapsed="false">
      <c r="A243" s="0" t="s">
        <v>261</v>
      </c>
      <c r="B243" s="72"/>
      <c r="C243" s="72" t="n">
        <f aca="false">0</f>
        <v>0</v>
      </c>
      <c r="D243" s="72" t="n">
        <f aca="false">0</f>
        <v>0</v>
      </c>
      <c r="E243" s="72" t="n">
        <f aca="false">0</f>
        <v>0</v>
      </c>
      <c r="F243" s="72" t="n">
        <f aca="false">0</f>
        <v>0</v>
      </c>
      <c r="G243" s="71" t="n">
        <f aca="false">Calculos!$B$223*(1-Inputs!$C$23)+Calculos!$G$241+Calculos!$B$224</f>
        <v>31454901.6936456</v>
      </c>
    </row>
    <row r="244" customFormat="false" ht="12.8" hidden="false" customHeight="false" outlineLevel="0" collapsed="false">
      <c r="A244" s="0" t="s">
        <v>262</v>
      </c>
      <c r="B244" s="71" t="n">
        <f aca="false">-(Calculos!$B$221+Calculos!$B$224+Calculos!$C$241)</f>
        <v>-39856224.6196863</v>
      </c>
      <c r="C244" s="71" t="n">
        <f aca="false">Calculos!$C$234-Calculos!$C$239-Calculos!$C$242+Calculos!$C$243</f>
        <v>-23108813.6832</v>
      </c>
      <c r="D244" s="71" t="n">
        <f aca="false">Calculos!$D$234-Calculos!$D$239-Calculos!$D$242+Calculos!$D$243</f>
        <v>-16909468.3244008</v>
      </c>
      <c r="E244" s="71" t="n">
        <f aca="false">Calculos!$E$234-Calculos!$E$239-Calculos!$E$242+Calculos!$E$243</f>
        <v>-5722165.76247335</v>
      </c>
      <c r="F244" s="71" t="n">
        <f aca="false">Calculos!$F$234-Calculos!$F$239-Calculos!$F$242+Calculos!$F$243</f>
        <v>6151593.47466168</v>
      </c>
      <c r="G244" s="71" t="n">
        <f aca="false">Calculos!$G$234-Calculos!$G$239-Calculos!$G$242+Calculos!$G$243</f>
        <v>46261899.7620678</v>
      </c>
    </row>
    <row r="245" customFormat="false" ht="12.8" hidden="false" customHeight="false" outlineLevel="0" collapsed="false">
      <c r="A245" s="0" t="s">
        <v>263</v>
      </c>
      <c r="B245" s="72" t="n">
        <v>1</v>
      </c>
      <c r="C245" s="72" t="n">
        <f aca="false">1/(1+Inputs!$C$7)^1</f>
        <v>0.869565217391304</v>
      </c>
      <c r="D245" s="72" t="n">
        <f aca="false">1/(1+Inputs!$C$7)^2</f>
        <v>0.756143667296787</v>
      </c>
      <c r="E245" s="72" t="n">
        <f aca="false">1/(1+Inputs!$C$7)^3</f>
        <v>0.657516232431988</v>
      </c>
      <c r="F245" s="72" t="n">
        <f aca="false">1/(1+Inputs!$C$7)^4</f>
        <v>0.571753245593033</v>
      </c>
      <c r="G245" s="72" t="n">
        <f aca="false">1/(1+Inputs!$C$7)^5</f>
        <v>0.49717673529829</v>
      </c>
    </row>
    <row r="246" customFormat="false" ht="12.8" hidden="false" customHeight="false" outlineLevel="0" collapsed="false">
      <c r="A246" s="0" t="s">
        <v>264</v>
      </c>
      <c r="B246" s="71" t="n">
        <f aca="false">Calculos!$B$244</f>
        <v>-39856224.6196863</v>
      </c>
      <c r="C246" s="71" t="n">
        <f aca="false">Calculos!$C$244*Calculos!$C$245</f>
        <v>-20094620.594087</v>
      </c>
      <c r="D246" s="71" t="n">
        <f aca="false">Calculos!$D$244*Calculos!$D$245</f>
        <v>-12785987.3908512</v>
      </c>
      <c r="E246" s="71" t="n">
        <f aca="false">Calculos!$E$244*Calculos!$E$245</f>
        <v>-3762416.87349279</v>
      </c>
      <c r="F246" s="71" t="n">
        <f aca="false">Calculos!$F$244*Calculos!$F$245</f>
        <v>3517193.53470674</v>
      </c>
      <c r="G246" s="71" t="n">
        <f aca="false">Calculos!$G$244*Calculos!$G$245</f>
        <v>23000340.2924016</v>
      </c>
    </row>
    <row r="247" customFormat="false" ht="12.8" hidden="false" customHeight="false" outlineLevel="0" collapsed="false">
      <c r="A247" s="0" t="s">
        <v>265</v>
      </c>
      <c r="B247" s="71" t="n">
        <f aca="false">Calculos!$B$244</f>
        <v>-39856224.6196863</v>
      </c>
      <c r="C247" s="71" t="n">
        <f aca="false">Calculos!$B$247+Calculos!$C$244</f>
        <v>-62965038.3028863</v>
      </c>
      <c r="D247" s="71" t="n">
        <f aca="false">Calculos!$C$247+Calculos!$D$244</f>
        <v>-79874506.6272871</v>
      </c>
      <c r="E247" s="71" t="n">
        <f aca="false">Calculos!$D$247+Calculos!$E$244</f>
        <v>-85596672.3897604</v>
      </c>
      <c r="F247" s="71" t="n">
        <f aca="false">Calculos!$E$247+Calculos!$F$244</f>
        <v>-79445078.9150987</v>
      </c>
      <c r="G247" s="71" t="n">
        <f aca="false">Calculos!$F$247+Calculos!$G$244</f>
        <v>-33183179.1530309</v>
      </c>
    </row>
    <row r="248" customFormat="false" ht="12.8" hidden="false" customHeight="false" outlineLevel="0" collapsed="false">
      <c r="A248" s="0" t="s">
        <v>266</v>
      </c>
      <c r="B248" s="71" t="n">
        <f aca="false">Calculos!$B$246</f>
        <v>-39856224.6196863</v>
      </c>
      <c r="C248" s="71" t="n">
        <f aca="false">Calculos!$B$248+Calculos!$C$246</f>
        <v>-59950845.2137733</v>
      </c>
      <c r="D248" s="71" t="n">
        <f aca="false">Calculos!$C$248+Calculos!$D$246</f>
        <v>-72736832.6046245</v>
      </c>
      <c r="E248" s="71" t="n">
        <f aca="false">Calculos!$D$248+Calculos!$E$246</f>
        <v>-76499249.4781173</v>
      </c>
      <c r="F248" s="71" t="n">
        <f aca="false">Calculos!$E$248+Calculos!$F$246</f>
        <v>-72982055.9434106</v>
      </c>
      <c r="G248" s="71" t="n">
        <f aca="false">Calculos!$F$248+Calculos!$G$246</f>
        <v>-49981715.6510089</v>
      </c>
    </row>
    <row r="250" customFormat="false" ht="12.8" hidden="false" customHeight="false" outlineLevel="0" collapsed="false">
      <c r="A250" s="0" t="s">
        <v>3</v>
      </c>
      <c r="B250" s="72" t="n">
        <f aca="false">-Calculos!$B$244</f>
        <v>39856224.6196863</v>
      </c>
    </row>
    <row r="251" customFormat="false" ht="12.8" hidden="false" customHeight="false" outlineLevel="0" collapsed="false">
      <c r="A251" s="0" t="s">
        <v>7</v>
      </c>
      <c r="B251" s="71" t="n">
        <f aca="false">SUM(Calculos!$B$246:$G$246)</f>
        <v>-49981715.6510089</v>
      </c>
    </row>
    <row r="252" customFormat="false" ht="12.8" hidden="false" customHeight="false" outlineLevel="0" collapsed="false">
      <c r="A252" s="0" t="s">
        <v>9</v>
      </c>
      <c r="B252" s="73" t="n">
        <f aca="false">IFERROR(IRR(Calculos!$B$244:$G$244),-1)</f>
        <v>-0.116352097579417</v>
      </c>
    </row>
    <row r="253" customFormat="false" ht="12.8" hidden="false" customHeight="false" outlineLevel="0" collapsed="false">
      <c r="A253" s="0" t="s">
        <v>10</v>
      </c>
      <c r="B253" s="0" t="n">
        <f aca="false">IFERROR(IF(Calculos!$C$248&gt;=0,0+(-Calculos!$B$248/Calculos!$C$246),IF(Calculos!$D$248&gt;=0,1+(-Calculos!$C$248/Calculos!$D$246),IF(Calculos!$E$248&gt;=0,2+(-Calculos!$D$248/Calculos!$E$246),IF(Calculos!$F$248&gt;=0,3+(-Calculos!$E$248/Calculos!$F$246),IF(Calculos!$G$248&gt;=0,4+(-Calculos!$F$248/Calculos!$G$246),NA()))))),99)</f>
        <v>99</v>
      </c>
    </row>
    <row r="254" customFormat="false" ht="12.8" hidden="false" customHeight="false" outlineLevel="0" collapsed="false">
      <c r="A254" s="0" t="s">
        <v>12</v>
      </c>
      <c r="B254" s="0" t="n">
        <f aca="false">(Calculos!$C$246+Calculos!$D$246+Calculos!$E$246+Calculos!$F$246+Calculos!$G$246)/(-Calculos!$B$244)</f>
        <v>-0.25405043071544</v>
      </c>
    </row>
    <row r="255" customFormat="false" ht="12.8" hidden="false" customHeight="false" outlineLevel="0" collapsed="false">
      <c r="A255" s="0" t="s">
        <v>5</v>
      </c>
      <c r="B255" s="71" t="n">
        <f aca="false">-MIN(Calculos!$B$247:$G$247)</f>
        <v>85596672.3897604</v>
      </c>
    </row>
    <row r="256" customFormat="false" ht="12.8" hidden="false" customHeight="false" outlineLevel="0" collapsed="false">
      <c r="A256" s="0" t="s">
        <v>13</v>
      </c>
      <c r="B256" s="0" t="n">
        <f aca="false">IF((Calculos!$C$229-Calculos!$C$230)&gt;0,Calculos!$C$233/(Calculos!$C$229-Calculos!$C$230)/12,NA())</f>
        <v>3658.90240522977</v>
      </c>
    </row>
    <row r="259" customFormat="false" ht="12.8" hidden="false" customHeight="false" outlineLevel="0" collapsed="false">
      <c r="A259" s="69" t="s">
        <v>299</v>
      </c>
      <c r="B259" s="69"/>
      <c r="C259" s="69"/>
      <c r="D259" s="69"/>
      <c r="E259" s="69"/>
      <c r="F259" s="69"/>
      <c r="G259" s="69"/>
    </row>
    <row r="260" customFormat="false" ht="12.8" hidden="false" customHeight="false" outlineLevel="0" collapsed="false">
      <c r="A260" s="0" t="s">
        <v>248</v>
      </c>
      <c r="B260" s="0" t="n">
        <f aca="false">1</f>
        <v>1</v>
      </c>
    </row>
    <row r="261" customFormat="false" ht="12.8" hidden="false" customHeight="false" outlineLevel="0" collapsed="false">
      <c r="A261" s="0" t="s">
        <v>247</v>
      </c>
      <c r="B261" s="74" t="n">
        <f aca="false">Inputs!$C$86</f>
        <v>0.8</v>
      </c>
    </row>
    <row r="262" customFormat="false" ht="12.8" hidden="false" customHeight="false" outlineLevel="0" collapsed="false">
      <c r="A262" s="0" t="s">
        <v>280</v>
      </c>
      <c r="B262" s="0" t="n">
        <f aca="false">1</f>
        <v>1</v>
      </c>
    </row>
    <row r="263" customFormat="false" ht="12.8" hidden="false" customHeight="false" outlineLevel="0" collapsed="false">
      <c r="A263" s="0" t="s">
        <v>281</v>
      </c>
      <c r="B263" s="0" t="n">
        <f aca="false">1</f>
        <v>1</v>
      </c>
    </row>
    <row r="264" customFormat="false" ht="12.8" hidden="false" customHeight="false" outlineLevel="0" collapsed="false">
      <c r="A264" s="0" t="s">
        <v>282</v>
      </c>
      <c r="B264" s="0" t="n">
        <f aca="false">1</f>
        <v>1</v>
      </c>
    </row>
    <row r="266" customFormat="false" ht="12.8" hidden="false" customHeight="false" outlineLevel="0" collapsed="false">
      <c r="A266" s="0" t="s">
        <v>283</v>
      </c>
      <c r="B266" s="71" t="n">
        <f aca="false">Inputs!$C$52+Inputs!$C$53+Inputs!$C$54+Inputs!$C$55+Inputs!$C$56+Inputs!$C$57+Inputs!$C$58+Inputs!$C$59</f>
        <v>8817795</v>
      </c>
    </row>
    <row r="267" customFormat="false" ht="12.8" hidden="false" customHeight="false" outlineLevel="0" collapsed="false">
      <c r="A267" s="0" t="s">
        <v>284</v>
      </c>
      <c r="B267" s="71" t="n">
        <f aca="false">Calculos!$B$266*Inputs!$C$60</f>
        <v>1322669.25</v>
      </c>
    </row>
    <row r="268" customFormat="false" ht="12.8" hidden="false" customHeight="false" outlineLevel="0" collapsed="false">
      <c r="A268" s="0" t="s">
        <v>285</v>
      </c>
      <c r="B268" s="72" t="n">
        <f aca="false">IF(Inputs!$C$40&gt;0,Inputs!$C$40,Inputs!$C$38*Inputs!$C$39)</f>
        <v>759720</v>
      </c>
    </row>
    <row r="269" customFormat="false" ht="12.8" hidden="false" customHeight="false" outlineLevel="0" collapsed="false">
      <c r="A269" s="0" t="s">
        <v>286</v>
      </c>
      <c r="B269" s="71" t="n">
        <f aca="false">((Inputs!$C$25*Inputs!$C$34+Inputs!$C$26*Inputs!$C$35+Inputs!$C$27*Inputs!$C$36+Inputs!$C$28)*(1+Inputs!$C$32)+Inputs!$C$29+Inputs!$C$30+Inputs!$C$31)</f>
        <v>2652.96256</v>
      </c>
    </row>
    <row r="270" customFormat="false" ht="12.8" hidden="false" customHeight="false" outlineLevel="0" collapsed="false">
      <c r="A270" s="0" t="s">
        <v>287</v>
      </c>
      <c r="B270" s="71" t="n">
        <f aca="false">(Calculos!$B$268+Inputs!$C$41*Inputs!$C$42+Inputs!$C$43+Inputs!$C$44+Inputs!$C$45+Inputs!$C$46+Inputs!$C$47)</f>
        <v>4123720</v>
      </c>
    </row>
    <row r="271" customFormat="false" ht="12.8" hidden="false" customHeight="false" outlineLevel="0" collapsed="false">
      <c r="A271" s="0" t="s">
        <v>288</v>
      </c>
      <c r="B271" s="71" t="n">
        <f aca="false">(Calculos!$B$266+Calculos!$B$267+Inputs!$C$61)*(1+Inputs!$C$64)*Calculos!$B$264</f>
        <v>25461533.8875</v>
      </c>
    </row>
    <row r="272" customFormat="false" ht="12.8" hidden="false" customHeight="false" outlineLevel="0" collapsed="false">
      <c r="A272" s="0" t="s">
        <v>289</v>
      </c>
      <c r="B272" s="71" t="n">
        <f aca="false">Calculos!$B$271+(Inputs!$C$62+Inputs!$C$63)*Calculos!$B$264</f>
        <v>27961533.8875</v>
      </c>
    </row>
    <row r="273" customFormat="false" ht="12.8" hidden="false" customHeight="false" outlineLevel="0" collapsed="false">
      <c r="A273" s="0" t="s">
        <v>290</v>
      </c>
      <c r="B273" s="71" t="n">
        <f aca="false">Calculos!$B$271/Inputs!$C$66</f>
        <v>5092306.7775</v>
      </c>
    </row>
    <row r="274" customFormat="false" ht="12.8" hidden="false" customHeight="false" outlineLevel="0" collapsed="false">
      <c r="A274" s="0" t="s">
        <v>291</v>
      </c>
      <c r="B274" s="71" t="n">
        <f aca="false">Calculos!$B$271*Inputs!$C$67</f>
        <v>2546153.38875</v>
      </c>
    </row>
    <row r="275" customFormat="false" ht="12.8" hidden="false" customHeight="false" outlineLevel="0" collapsed="false">
      <c r="A275" s="0" t="s">
        <v>292</v>
      </c>
      <c r="B275" s="72" t="n">
        <f aca="false">Calculos!$B$268*Inputs!$C$65</f>
        <v>1519440</v>
      </c>
    </row>
    <row r="277" customFormat="false" ht="18.45" hidden="false" customHeight="true" outlineLevel="0" collapsed="false">
      <c r="A277" s="13" t="s">
        <v>226</v>
      </c>
      <c r="B277" s="13" t="s">
        <v>241</v>
      </c>
      <c r="C277" s="13" t="s">
        <v>242</v>
      </c>
      <c r="D277" s="13" t="s">
        <v>243</v>
      </c>
      <c r="E277" s="13" t="s">
        <v>244</v>
      </c>
      <c r="F277" s="13" t="s">
        <v>245</v>
      </c>
      <c r="G277" s="13" t="s">
        <v>246</v>
      </c>
    </row>
    <row r="278" customFormat="false" ht="12.8" hidden="false" customHeight="false" outlineLevel="0" collapsed="false">
      <c r="A278" s="0" t="s">
        <v>247</v>
      </c>
      <c r="C278" s="0" t="n">
        <f aca="false">Inputs!$C$13*Calculos!$B$261</f>
        <v>24000</v>
      </c>
      <c r="D278" s="0" t="n">
        <f aca="false">Inputs!$C$14*Calculos!$B$261</f>
        <v>33600</v>
      </c>
      <c r="E278" s="0" t="n">
        <f aca="false">Inputs!$C$15*Calculos!$B$261</f>
        <v>43200</v>
      </c>
      <c r="F278" s="0" t="n">
        <f aca="false">Inputs!$C$16*Calculos!$B$261</f>
        <v>52800</v>
      </c>
      <c r="G278" s="0" t="n">
        <f aca="false">Inputs!$C$17*Calculos!$B$261</f>
        <v>57600</v>
      </c>
    </row>
    <row r="279" customFormat="false" ht="12.8" hidden="false" customHeight="false" outlineLevel="0" collapsed="false">
      <c r="A279" s="0" t="s">
        <v>293</v>
      </c>
      <c r="C279" s="0" t="n">
        <f aca="false">(1+Inputs!$C$8)^1</f>
        <v>1.03</v>
      </c>
      <c r="D279" s="0" t="n">
        <f aca="false">(1+Inputs!$C$8)^2</f>
        <v>1.0609</v>
      </c>
      <c r="E279" s="0" t="n">
        <f aca="false">(1+Inputs!$C$8)^3</f>
        <v>1.092727</v>
      </c>
      <c r="F279" s="0" t="n">
        <f aca="false">(1+Inputs!$C$8)^4</f>
        <v>1.12550881</v>
      </c>
      <c r="G279" s="0" t="n">
        <f aca="false">(1+Inputs!$C$8)^5</f>
        <v>1.1592740743</v>
      </c>
    </row>
    <row r="280" customFormat="false" ht="12.8" hidden="false" customHeight="false" outlineLevel="0" collapsed="false">
      <c r="A280" s="0" t="s">
        <v>248</v>
      </c>
      <c r="B280" s="72"/>
      <c r="C280" s="71" t="n">
        <f aca="false">Inputs!$C$12*Calculos!$B$260*Calculos!$C$279</f>
        <v>4326</v>
      </c>
      <c r="D280" s="71" t="n">
        <f aca="false">Inputs!$C$12*Calculos!$B$260*Calculos!$D$279</f>
        <v>4455.78</v>
      </c>
      <c r="E280" s="71" t="n">
        <f aca="false">Inputs!$C$12*Calculos!$B$260*Calculos!$E$279</f>
        <v>4589.4534</v>
      </c>
      <c r="F280" s="71" t="n">
        <f aca="false">Inputs!$C$12*Calculos!$B$260*Calculos!$F$279</f>
        <v>4727.137002</v>
      </c>
      <c r="G280" s="71" t="n">
        <f aca="false">Inputs!$C$12*Calculos!$B$260*Calculos!$G$279</f>
        <v>4868.95111206</v>
      </c>
    </row>
    <row r="281" customFormat="false" ht="12.8" hidden="false" customHeight="false" outlineLevel="0" collapsed="false">
      <c r="A281" s="0" t="s">
        <v>294</v>
      </c>
      <c r="B281" s="72"/>
      <c r="C281" s="71" t="n">
        <f aca="false">Calculos!$B$269*Calculos!$B$262*Calculos!$C$279</f>
        <v>2732.5514368</v>
      </c>
      <c r="D281" s="71" t="n">
        <f aca="false">Calculos!$B$269*Calculos!$B$262*Calculos!$D$279</f>
        <v>2814.527979904</v>
      </c>
      <c r="E281" s="71" t="n">
        <f aca="false">Calculos!$B$269*Calculos!$B$262*Calculos!$E$279</f>
        <v>2898.96381930112</v>
      </c>
      <c r="F281" s="71" t="n">
        <f aca="false">Calculos!$B$269*Calculos!$B$262*Calculos!$F$279</f>
        <v>2985.93273388015</v>
      </c>
      <c r="G281" s="71" t="n">
        <f aca="false">Calculos!$B$269*Calculos!$B$262*Calculos!$G$279</f>
        <v>3075.51071589656</v>
      </c>
    </row>
    <row r="282" customFormat="false" ht="12.8" hidden="false" customHeight="false" outlineLevel="0" collapsed="false">
      <c r="A282" s="0" t="s">
        <v>249</v>
      </c>
      <c r="B282" s="72"/>
      <c r="C282" s="71" t="n">
        <f aca="false">Calculos!$C$278*Calculos!$C$280</f>
        <v>103824000</v>
      </c>
      <c r="D282" s="71" t="n">
        <f aca="false">Calculos!$D$278*Calculos!$D$280</f>
        <v>149714208</v>
      </c>
      <c r="E282" s="71" t="n">
        <f aca="false">Calculos!$E$278*Calculos!$E$280</f>
        <v>198264386.88</v>
      </c>
      <c r="F282" s="71" t="n">
        <f aca="false">Calculos!$F$278*Calculos!$F$280</f>
        <v>249592833.7056</v>
      </c>
      <c r="G282" s="71" t="n">
        <f aca="false">Calculos!$G$278*Calculos!$G$280</f>
        <v>280451584.054656</v>
      </c>
    </row>
    <row r="283" customFormat="false" ht="12.8" hidden="false" customHeight="false" outlineLevel="0" collapsed="false">
      <c r="A283" s="0" t="s">
        <v>250</v>
      </c>
      <c r="B283" s="72"/>
      <c r="C283" s="71" t="n">
        <f aca="false">Calculos!$C$278*Calculos!$C$281</f>
        <v>65581234.4832</v>
      </c>
      <c r="D283" s="71" t="n">
        <f aca="false">Calculos!$D$278*Calculos!$D$281</f>
        <v>94568140.1247744</v>
      </c>
      <c r="E283" s="71" t="n">
        <f aca="false">Calculos!$E$278*Calculos!$E$281</f>
        <v>125235236.993808</v>
      </c>
      <c r="F283" s="71" t="n">
        <f aca="false">Calculos!$F$278*Calculos!$F$281</f>
        <v>157657248.348872</v>
      </c>
      <c r="G283" s="71" t="n">
        <f aca="false">Calculos!$G$278*Calculos!$G$281</f>
        <v>177149417.235642</v>
      </c>
    </row>
    <row r="284" customFormat="false" ht="12.8" hidden="false" customHeight="false" outlineLevel="0" collapsed="false">
      <c r="A284" s="0" t="s">
        <v>251</v>
      </c>
      <c r="B284" s="72"/>
      <c r="C284" s="71" t="n">
        <f aca="false">Calculos!$B$270*12*Calculos!$B$263*Calculos!$C$279</f>
        <v>50969179.2</v>
      </c>
      <c r="D284" s="71" t="n">
        <f aca="false">Calculos!$B$270*12*Calculos!$B$263*Calculos!$D$279</f>
        <v>52498254.576</v>
      </c>
      <c r="E284" s="71" t="n">
        <f aca="false">Calculos!$B$270*12*Calculos!$B$263*Calculos!$E$279</f>
        <v>54073202.21328</v>
      </c>
      <c r="F284" s="71" t="n">
        <f aca="false">Calculos!$B$270*12*Calculos!$B$263*Calculos!$F$279</f>
        <v>55695398.2796784</v>
      </c>
      <c r="G284" s="71" t="n">
        <f aca="false">Calculos!$B$270*12*Calculos!$B$263*Calculos!$G$279</f>
        <v>57366260.2280688</v>
      </c>
    </row>
    <row r="285" customFormat="false" ht="12.8" hidden="false" customHeight="false" outlineLevel="0" collapsed="false">
      <c r="A285" s="0" t="s">
        <v>252</v>
      </c>
      <c r="B285" s="72"/>
      <c r="C285" s="71" t="n">
        <f aca="false">Calculos!$C$282-Calculos!$C$283-Calculos!$C$284</f>
        <v>-12726413.6832</v>
      </c>
      <c r="D285" s="71" t="n">
        <f aca="false">Calculos!$D$282-Calculos!$D$283-Calculos!$D$284</f>
        <v>2647813.29922561</v>
      </c>
      <c r="E285" s="71" t="n">
        <f aca="false">Calculos!$E$282-Calculos!$E$283-Calculos!$E$284</f>
        <v>18955947.6729116</v>
      </c>
      <c r="F285" s="71" t="n">
        <f aca="false">Calculos!$F$282-Calculos!$F$283-Calculos!$F$284</f>
        <v>36240187.0770495</v>
      </c>
      <c r="G285" s="71" t="n">
        <f aca="false">Calculos!$G$282-Calculos!$G$283-Calculos!$G$284</f>
        <v>45935906.5909455</v>
      </c>
    </row>
    <row r="286" customFormat="false" ht="12.8" hidden="false" customHeight="false" outlineLevel="0" collapsed="false">
      <c r="A286" s="0" t="s">
        <v>253</v>
      </c>
      <c r="B286" s="72"/>
      <c r="C286" s="71" t="n">
        <f aca="false">Calculos!$B$273</f>
        <v>5092306.7775</v>
      </c>
      <c r="D286" s="71" t="n">
        <f aca="false">Calculos!$B$273</f>
        <v>5092306.7775</v>
      </c>
      <c r="E286" s="71" t="n">
        <f aca="false">Calculos!$B$273</f>
        <v>5092306.7775</v>
      </c>
      <c r="F286" s="71" t="n">
        <f aca="false">Calculos!$B$273</f>
        <v>5092306.7775</v>
      </c>
      <c r="G286" s="71" t="n">
        <f aca="false">Calculos!$B$273</f>
        <v>5092306.7775</v>
      </c>
    </row>
    <row r="287" customFormat="false" ht="12.8" hidden="false" customHeight="false" outlineLevel="0" collapsed="false">
      <c r="A287" s="0" t="s">
        <v>254</v>
      </c>
      <c r="B287" s="72"/>
      <c r="C287" s="71" t="n">
        <f aca="false">Calculos!$C$285-Calculos!$C$286</f>
        <v>-17818720.4607</v>
      </c>
      <c r="D287" s="71" t="n">
        <f aca="false">Calculos!$D$285-Calculos!$D$286</f>
        <v>-2444493.47827439</v>
      </c>
      <c r="E287" s="71" t="n">
        <f aca="false">Calculos!$E$285-Calculos!$E$286</f>
        <v>13863640.8954116</v>
      </c>
      <c r="F287" s="71" t="n">
        <f aca="false">Calculos!$F$285-Calculos!$F$286</f>
        <v>31147880.2995495</v>
      </c>
      <c r="G287" s="71" t="n">
        <f aca="false">Calculos!$G$285-Calculos!$G$286</f>
        <v>40843599.8134455</v>
      </c>
    </row>
    <row r="288" customFormat="false" ht="12.8" hidden="false" customHeight="false" outlineLevel="0" collapsed="false">
      <c r="A288" s="0" t="s">
        <v>255</v>
      </c>
      <c r="B288" s="72"/>
      <c r="C288" s="72" t="n">
        <f aca="false">0</f>
        <v>0</v>
      </c>
      <c r="D288" s="72" t="n">
        <f aca="false">Calculos!$C$291</f>
        <v>17818720.4607</v>
      </c>
      <c r="E288" s="72" t="n">
        <f aca="false">Calculos!$D$291</f>
        <v>20263213.9389744</v>
      </c>
      <c r="F288" s="72" t="n">
        <f aca="false">Calculos!$E$291</f>
        <v>6399573.04356276</v>
      </c>
      <c r="G288" s="72" t="n">
        <f aca="false">Calculos!$F$291</f>
        <v>0</v>
      </c>
    </row>
    <row r="289" customFormat="false" ht="12.8" hidden="false" customHeight="false" outlineLevel="0" collapsed="false">
      <c r="A289" s="0" t="s">
        <v>256</v>
      </c>
      <c r="B289" s="72"/>
      <c r="C289" s="72" t="n">
        <f aca="false">MAX(0,Calculos!$C$287-Calculos!$C$288)</f>
        <v>0</v>
      </c>
      <c r="D289" s="72" t="n">
        <f aca="false">MAX(0,Calculos!$D$287-Calculos!$D$288)</f>
        <v>0</v>
      </c>
      <c r="E289" s="72" t="n">
        <f aca="false">MAX(0,Calculos!$E$287-Calculos!$E$288)</f>
        <v>0</v>
      </c>
      <c r="F289" s="72" t="n">
        <f aca="false">MAX(0,Calculos!$F$287-Calculos!$F$288)</f>
        <v>24748307.2559867</v>
      </c>
      <c r="G289" s="72" t="n">
        <f aca="false">MAX(0,Calculos!$G$287-Calculos!$G$288)</f>
        <v>40843599.8134455</v>
      </c>
    </row>
    <row r="290" customFormat="false" ht="12.8" hidden="false" customHeight="false" outlineLevel="0" collapsed="false">
      <c r="A290" s="0" t="s">
        <v>257</v>
      </c>
      <c r="B290" s="72"/>
      <c r="C290" s="72" t="n">
        <f aca="false">Calculos!$C$289*Inputs!$C$19</f>
        <v>0</v>
      </c>
      <c r="D290" s="72" t="n">
        <f aca="false">Calculos!$D$289*Inputs!$C$20</f>
        <v>0</v>
      </c>
      <c r="E290" s="72" t="n">
        <f aca="false">Calculos!$E$289*Inputs!$C$21</f>
        <v>0</v>
      </c>
      <c r="F290" s="72" t="n">
        <f aca="false">Calculos!$F$289*Inputs!$C$22</f>
        <v>6187076.81399668</v>
      </c>
      <c r="G290" s="72" t="n">
        <f aca="false">Calculos!$G$289*Inputs!$C$23</f>
        <v>10210899.9533614</v>
      </c>
    </row>
    <row r="291" customFormat="false" ht="12.8" hidden="false" customHeight="false" outlineLevel="0" collapsed="false">
      <c r="A291" s="0" t="s">
        <v>258</v>
      </c>
      <c r="B291" s="72"/>
      <c r="C291" s="72" t="n">
        <f aca="false">MAX(0,Calculos!$C$288-Calculos!$C$287)</f>
        <v>17818720.4607</v>
      </c>
      <c r="D291" s="72" t="n">
        <f aca="false">MAX(0,Calculos!$D$288-Calculos!$D$287)</f>
        <v>20263213.9389744</v>
      </c>
      <c r="E291" s="72" t="n">
        <f aca="false">MAX(0,Calculos!$E$288-Calculos!$E$287)</f>
        <v>6399573.04356276</v>
      </c>
      <c r="F291" s="72" t="n">
        <f aca="false">MAX(0,Calculos!$F$288-Calculos!$F$287)</f>
        <v>0</v>
      </c>
      <c r="G291" s="72" t="n">
        <f aca="false">MAX(0,Calculos!$G$288-Calculos!$G$287)</f>
        <v>0</v>
      </c>
    </row>
    <row r="292" customFormat="false" ht="12.8" hidden="false" customHeight="false" outlineLevel="0" collapsed="false">
      <c r="A292" s="0" t="s">
        <v>259</v>
      </c>
      <c r="B292" s="72"/>
      <c r="C292" s="71" t="n">
        <f aca="false">Calculos!$C$282*Inputs!$C$48/365+Calculos!$C$283*Inputs!$C$49/365-Calculos!$C$283*Inputs!$C$50/365</f>
        <v>11228598.6773918</v>
      </c>
      <c r="D292" s="71" t="n">
        <f aca="false">Calculos!$D$282*Inputs!$C$48/365+Calculos!$D$283*Inputs!$C$49/365-Calculos!$D$283*Inputs!$C$50/365</f>
        <v>16191639.2927989</v>
      </c>
      <c r="E292" s="71" t="n">
        <f aca="false">Calculos!$E$282*Inputs!$C$48/365+Calculos!$E$283*Inputs!$C$49/365-Calculos!$E$283*Inputs!$C$50/365</f>
        <v>21442356.6063209</v>
      </c>
      <c r="F292" s="71" t="n">
        <f aca="false">Calculos!$F$282*Inputs!$C$48/365+Calculos!$F$283*Inputs!$C$49/365-Calculos!$F$283*Inputs!$C$50/365</f>
        <v>26993544.4832906</v>
      </c>
      <c r="G292" s="71" t="n">
        <f aca="false">Calculos!$G$282*Inputs!$C$48/365+Calculos!$G$283*Inputs!$C$49/365-Calculos!$G$283*Inputs!$C$50/365</f>
        <v>30330928.1648611</v>
      </c>
    </row>
    <row r="293" customFormat="false" ht="12.8" hidden="false" customHeight="false" outlineLevel="0" collapsed="false">
      <c r="A293" s="0" t="s">
        <v>260</v>
      </c>
      <c r="B293" s="72"/>
      <c r="C293" s="71" t="n">
        <f aca="false">Calculos!$C$292-Calculos!$C$292</f>
        <v>0</v>
      </c>
      <c r="D293" s="71" t="n">
        <f aca="false">Calculos!$D$292-Calculos!$C$292</f>
        <v>4963040.61540717</v>
      </c>
      <c r="E293" s="71" t="n">
        <f aca="false">Calculos!$E$292-Calculos!$D$292</f>
        <v>5250717.31352195</v>
      </c>
      <c r="F293" s="71" t="n">
        <f aca="false">Calculos!$F$292-Calculos!$E$292</f>
        <v>5551187.87696974</v>
      </c>
      <c r="G293" s="71" t="n">
        <f aca="false">Calculos!$G$292-Calculos!$F$292</f>
        <v>3337383.68157048</v>
      </c>
    </row>
    <row r="294" customFormat="false" ht="12.8" hidden="false" customHeight="false" outlineLevel="0" collapsed="false">
      <c r="A294" s="0" t="s">
        <v>261</v>
      </c>
      <c r="B294" s="72"/>
      <c r="C294" s="72" t="n">
        <f aca="false">0</f>
        <v>0</v>
      </c>
      <c r="D294" s="72" t="n">
        <f aca="false">0</f>
        <v>0</v>
      </c>
      <c r="E294" s="72" t="n">
        <f aca="false">0</f>
        <v>0</v>
      </c>
      <c r="F294" s="72" t="n">
        <f aca="false">0</f>
        <v>0</v>
      </c>
      <c r="G294" s="71" t="n">
        <f aca="false">Calculos!$B$274*(1-Inputs!$C$23)+Calculos!$G$292+Calculos!$B$275</f>
        <v>33759983.2064236</v>
      </c>
    </row>
    <row r="295" customFormat="false" ht="12.8" hidden="false" customHeight="false" outlineLevel="0" collapsed="false">
      <c r="A295" s="0" t="s">
        <v>262</v>
      </c>
      <c r="B295" s="71" t="n">
        <f aca="false">-(Calculos!$B$272+Calculos!$B$275+Calculos!$C$292)</f>
        <v>-40709572.5648918</v>
      </c>
      <c r="C295" s="71" t="n">
        <f aca="false">Calculos!$C$285-Calculos!$C$290-Calculos!$C$293+Calculos!$C$294</f>
        <v>-12726413.6832</v>
      </c>
      <c r="D295" s="71" t="n">
        <f aca="false">Calculos!$D$285-Calculos!$D$290-Calculos!$D$293+Calculos!$D$294</f>
        <v>-2315227.31618156</v>
      </c>
      <c r="E295" s="71" t="n">
        <f aca="false">Calculos!$E$285-Calculos!$E$290-Calculos!$E$293+Calculos!$E$294</f>
        <v>13705230.3593897</v>
      </c>
      <c r="F295" s="71" t="n">
        <f aca="false">Calculos!$F$285-Calculos!$F$290-Calculos!$F$293+Calculos!$F$294</f>
        <v>24501922.3860831</v>
      </c>
      <c r="G295" s="71" t="n">
        <f aca="false">Calculos!$G$285-Calculos!$G$290-Calculos!$G$293+Calculos!$G$294</f>
        <v>66147606.1624373</v>
      </c>
    </row>
    <row r="296" customFormat="false" ht="12.8" hidden="false" customHeight="false" outlineLevel="0" collapsed="false">
      <c r="A296" s="0" t="s">
        <v>263</v>
      </c>
      <c r="B296" s="72" t="n">
        <v>1</v>
      </c>
      <c r="C296" s="72" t="n">
        <f aca="false">1/(1+Inputs!$C$7)^1</f>
        <v>0.869565217391304</v>
      </c>
      <c r="D296" s="72" t="n">
        <f aca="false">1/(1+Inputs!$C$7)^2</f>
        <v>0.756143667296787</v>
      </c>
      <c r="E296" s="72" t="n">
        <f aca="false">1/(1+Inputs!$C$7)^3</f>
        <v>0.657516232431988</v>
      </c>
      <c r="F296" s="72" t="n">
        <f aca="false">1/(1+Inputs!$C$7)^4</f>
        <v>0.571753245593033</v>
      </c>
      <c r="G296" s="72" t="n">
        <f aca="false">1/(1+Inputs!$C$7)^5</f>
        <v>0.49717673529829</v>
      </c>
    </row>
    <row r="297" customFormat="false" ht="12.8" hidden="false" customHeight="false" outlineLevel="0" collapsed="false">
      <c r="A297" s="0" t="s">
        <v>264</v>
      </c>
      <c r="B297" s="71" t="n">
        <f aca="false">Calculos!$B$295</f>
        <v>-40709572.5648918</v>
      </c>
      <c r="C297" s="71" t="n">
        <f aca="false">Calculos!$C$295*Calculos!$C$296</f>
        <v>-11066446.6810435</v>
      </c>
      <c r="D297" s="71" t="n">
        <f aca="false">Calculos!$D$295*Calculos!$D$296</f>
        <v>-1750644.47348322</v>
      </c>
      <c r="E297" s="71" t="n">
        <f aca="false">Calculos!$E$295*Calculos!$E$296</f>
        <v>9011411.43051841</v>
      </c>
      <c r="F297" s="71" t="n">
        <f aca="false">Calculos!$F$295*Calculos!$F$296</f>
        <v>14009053.6475116</v>
      </c>
      <c r="G297" s="71" t="n">
        <f aca="false">Calculos!$G$295*Calculos!$G$296</f>
        <v>32887050.8796376</v>
      </c>
    </row>
    <row r="298" customFormat="false" ht="12.8" hidden="false" customHeight="false" outlineLevel="0" collapsed="false">
      <c r="A298" s="0" t="s">
        <v>265</v>
      </c>
      <c r="B298" s="71" t="n">
        <f aca="false">Calculos!$B$295</f>
        <v>-40709572.5648918</v>
      </c>
      <c r="C298" s="71" t="n">
        <f aca="false">Calculos!$B$298+Calculos!$C$295</f>
        <v>-53435986.2480918</v>
      </c>
      <c r="D298" s="71" t="n">
        <f aca="false">Calculos!$C$298+Calculos!$D$295</f>
        <v>-55751213.5642733</v>
      </c>
      <c r="E298" s="71" t="n">
        <f aca="false">Calculos!$D$298+Calculos!$E$295</f>
        <v>-42045983.2048837</v>
      </c>
      <c r="F298" s="71" t="n">
        <f aca="false">Calculos!$E$298+Calculos!$F$295</f>
        <v>-17544060.8188006</v>
      </c>
      <c r="G298" s="71" t="n">
        <f aca="false">Calculos!$F$298+Calculos!$G$295</f>
        <v>48603545.3436367</v>
      </c>
    </row>
    <row r="299" customFormat="false" ht="12.8" hidden="false" customHeight="false" outlineLevel="0" collapsed="false">
      <c r="A299" s="0" t="s">
        <v>266</v>
      </c>
      <c r="B299" s="71" t="n">
        <f aca="false">Calculos!$B$297</f>
        <v>-40709572.5648918</v>
      </c>
      <c r="C299" s="71" t="n">
        <f aca="false">Calculos!$B$299+Calculos!$C$297</f>
        <v>-51776019.2459353</v>
      </c>
      <c r="D299" s="71" t="n">
        <f aca="false">Calculos!$C$299+Calculos!$D$297</f>
        <v>-53526663.7194185</v>
      </c>
      <c r="E299" s="71" t="n">
        <f aca="false">Calculos!$D$299+Calculos!$E$297</f>
        <v>-44515252.2889001</v>
      </c>
      <c r="F299" s="71" t="n">
        <f aca="false">Calculos!$E$299+Calculos!$F$297</f>
        <v>-30506198.6413885</v>
      </c>
      <c r="G299" s="71" t="n">
        <f aca="false">Calculos!$F$299+Calculos!$G$297</f>
        <v>2380852.23824912</v>
      </c>
    </row>
    <row r="301" customFormat="false" ht="12.8" hidden="false" customHeight="false" outlineLevel="0" collapsed="false">
      <c r="A301" s="0" t="s">
        <v>3</v>
      </c>
      <c r="B301" s="72" t="n">
        <f aca="false">-Calculos!$B$295</f>
        <v>40709572.5648918</v>
      </c>
    </row>
    <row r="302" customFormat="false" ht="12.8" hidden="false" customHeight="false" outlineLevel="0" collapsed="false">
      <c r="A302" s="0" t="s">
        <v>7</v>
      </c>
      <c r="B302" s="71" t="n">
        <f aca="false">SUM(Calculos!$B$297:$G$297)</f>
        <v>2380852.23824912</v>
      </c>
    </row>
    <row r="303" customFormat="false" ht="12.8" hidden="false" customHeight="false" outlineLevel="0" collapsed="false">
      <c r="A303" s="0" t="s">
        <v>9</v>
      </c>
      <c r="B303" s="73" t="n">
        <f aca="false">IFERROR(IRR(Calculos!$B$295:$G$295),-1)</f>
        <v>0.162113237411388</v>
      </c>
    </row>
    <row r="304" customFormat="false" ht="12.8" hidden="false" customHeight="false" outlineLevel="0" collapsed="false">
      <c r="A304" s="0" t="s">
        <v>10</v>
      </c>
      <c r="B304" s="0" t="n">
        <f aca="false">IFERROR(IF(Calculos!$C$299&gt;=0,0+(-Calculos!$B$299/Calculos!$C$297),IF(Calculos!$D$299&gt;=0,1+(-Calculos!$C$299/Calculos!$D$297),IF(Calculos!$E$299&gt;=0,2+(-Calculos!$D$299/Calculos!$E$297),IF(Calculos!$F$299&gt;=0,3+(-Calculos!$E$299/Calculos!$F$297),IF(Calculos!$G$299&gt;=0,4+(-Calculos!$F$299/Calculos!$G$297),NA()))))),99)</f>
        <v>4.92760517667082</v>
      </c>
    </row>
    <row r="305" customFormat="false" ht="12.8" hidden="false" customHeight="false" outlineLevel="0" collapsed="false">
      <c r="A305" s="0" t="s">
        <v>12</v>
      </c>
      <c r="B305" s="0" t="n">
        <f aca="false">(Calculos!$C$297+Calculos!$D$297+Calculos!$E$297+Calculos!$F$297+Calculos!$G$297)/(-Calculos!$B$295)</f>
        <v>1.0584838426995</v>
      </c>
    </row>
    <row r="306" customFormat="false" ht="12.8" hidden="false" customHeight="false" outlineLevel="0" collapsed="false">
      <c r="A306" s="0" t="s">
        <v>5</v>
      </c>
      <c r="B306" s="71" t="n">
        <f aca="false">-MIN(Calculos!$B$298:$G$298)</f>
        <v>55751213.5642733</v>
      </c>
    </row>
    <row r="307" customFormat="false" ht="12.8" hidden="false" customHeight="false" outlineLevel="0" collapsed="false">
      <c r="A307" s="0" t="s">
        <v>13</v>
      </c>
      <c r="B307" s="0" t="n">
        <f aca="false">IF((Calculos!$C$280-Calculos!$C$281)&gt;0,Calculos!$C$284/(Calculos!$C$280-Calculos!$C$281)/12,NA())</f>
        <v>2665.5592769623</v>
      </c>
    </row>
    <row r="310" customFormat="false" ht="12.8" hidden="false" customHeight="false" outlineLevel="0" collapsed="false">
      <c r="A310" s="69" t="s">
        <v>300</v>
      </c>
      <c r="B310" s="69"/>
      <c r="C310" s="69"/>
      <c r="D310" s="69"/>
      <c r="E310" s="69"/>
      <c r="F310" s="69"/>
      <c r="G310" s="69"/>
    </row>
    <row r="311" customFormat="false" ht="12.8" hidden="false" customHeight="false" outlineLevel="0" collapsed="false">
      <c r="A311" s="0" t="s">
        <v>248</v>
      </c>
      <c r="B311" s="74" t="n">
        <f aca="false">Inputs!$C$85</f>
        <v>1.1</v>
      </c>
    </row>
    <row r="312" customFormat="false" ht="12.8" hidden="false" customHeight="false" outlineLevel="0" collapsed="false">
      <c r="A312" s="0" t="s">
        <v>247</v>
      </c>
      <c r="B312" s="74" t="n">
        <f aca="false">Inputs!$C$86</f>
        <v>0.8</v>
      </c>
    </row>
    <row r="313" customFormat="false" ht="12.8" hidden="false" customHeight="false" outlineLevel="0" collapsed="false">
      <c r="A313" s="0" t="s">
        <v>280</v>
      </c>
      <c r="B313" s="0" t="n">
        <f aca="false">1</f>
        <v>1</v>
      </c>
    </row>
    <row r="314" customFormat="false" ht="12.8" hidden="false" customHeight="false" outlineLevel="0" collapsed="false">
      <c r="A314" s="0" t="s">
        <v>281</v>
      </c>
      <c r="B314" s="0" t="n">
        <f aca="false">1</f>
        <v>1</v>
      </c>
    </row>
    <row r="315" customFormat="false" ht="12.8" hidden="false" customHeight="false" outlineLevel="0" collapsed="false">
      <c r="A315" s="0" t="s">
        <v>282</v>
      </c>
      <c r="B315" s="0" t="n">
        <f aca="false">1</f>
        <v>1</v>
      </c>
    </row>
    <row r="317" customFormat="false" ht="12.8" hidden="false" customHeight="false" outlineLevel="0" collapsed="false">
      <c r="A317" s="0" t="s">
        <v>283</v>
      </c>
      <c r="B317" s="71" t="n">
        <f aca="false">Inputs!$C$52+Inputs!$C$53+Inputs!$C$54+Inputs!$C$55+Inputs!$C$56+Inputs!$C$57+Inputs!$C$58+Inputs!$C$59</f>
        <v>8817795</v>
      </c>
    </row>
    <row r="318" customFormat="false" ht="12.8" hidden="false" customHeight="false" outlineLevel="0" collapsed="false">
      <c r="A318" s="0" t="s">
        <v>284</v>
      </c>
      <c r="B318" s="71" t="n">
        <f aca="false">Calculos!$B$317*Inputs!$C$60</f>
        <v>1322669.25</v>
      </c>
    </row>
    <row r="319" customFormat="false" ht="12.8" hidden="false" customHeight="false" outlineLevel="0" collapsed="false">
      <c r="A319" s="0" t="s">
        <v>285</v>
      </c>
      <c r="B319" s="72" t="n">
        <f aca="false">IF(Inputs!$C$40&gt;0,Inputs!$C$40,Inputs!$C$38*Inputs!$C$39)</f>
        <v>759720</v>
      </c>
    </row>
    <row r="320" customFormat="false" ht="12.8" hidden="false" customHeight="false" outlineLevel="0" collapsed="false">
      <c r="A320" s="0" t="s">
        <v>286</v>
      </c>
      <c r="B320" s="71" t="n">
        <f aca="false">((Inputs!$C$25*Inputs!$C$34+Inputs!$C$26*Inputs!$C$35+Inputs!$C$27*Inputs!$C$36+Inputs!$C$28)*(1+Inputs!$C$32)+Inputs!$C$29+Inputs!$C$30+Inputs!$C$31)</f>
        <v>2652.96256</v>
      </c>
    </row>
    <row r="321" customFormat="false" ht="12.8" hidden="false" customHeight="false" outlineLevel="0" collapsed="false">
      <c r="A321" s="0" t="s">
        <v>287</v>
      </c>
      <c r="B321" s="71" t="n">
        <f aca="false">(Calculos!$B$319+Inputs!$C$41*Inputs!$C$42+Inputs!$C$43+Inputs!$C$44+Inputs!$C$45+Inputs!$C$46+Inputs!$C$47)</f>
        <v>4123720</v>
      </c>
    </row>
    <row r="322" customFormat="false" ht="12.8" hidden="false" customHeight="false" outlineLevel="0" collapsed="false">
      <c r="A322" s="0" t="s">
        <v>288</v>
      </c>
      <c r="B322" s="71" t="n">
        <f aca="false">(Calculos!$B$317+Calculos!$B$318+Inputs!$C$61)*(1+Inputs!$C$64)*Calculos!$B$315</f>
        <v>25461533.8875</v>
      </c>
    </row>
    <row r="323" customFormat="false" ht="12.8" hidden="false" customHeight="false" outlineLevel="0" collapsed="false">
      <c r="A323" s="0" t="s">
        <v>289</v>
      </c>
      <c r="B323" s="71" t="n">
        <f aca="false">Calculos!$B$322+(Inputs!$C$62+Inputs!$C$63)*Calculos!$B$315</f>
        <v>27961533.8875</v>
      </c>
    </row>
    <row r="324" customFormat="false" ht="12.8" hidden="false" customHeight="false" outlineLevel="0" collapsed="false">
      <c r="A324" s="0" t="s">
        <v>290</v>
      </c>
      <c r="B324" s="71" t="n">
        <f aca="false">Calculos!$B$322/Inputs!$C$66</f>
        <v>5092306.7775</v>
      </c>
    </row>
    <row r="325" customFormat="false" ht="12.8" hidden="false" customHeight="false" outlineLevel="0" collapsed="false">
      <c r="A325" s="0" t="s">
        <v>291</v>
      </c>
      <c r="B325" s="71" t="n">
        <f aca="false">Calculos!$B$322*Inputs!$C$67</f>
        <v>2546153.38875</v>
      </c>
    </row>
    <row r="326" customFormat="false" ht="12.8" hidden="false" customHeight="false" outlineLevel="0" collapsed="false">
      <c r="A326" s="0" t="s">
        <v>292</v>
      </c>
      <c r="B326" s="72" t="n">
        <f aca="false">Calculos!$B$319*Inputs!$C$65</f>
        <v>1519440</v>
      </c>
    </row>
    <row r="328" customFormat="false" ht="18.45" hidden="false" customHeight="true" outlineLevel="0" collapsed="false">
      <c r="A328" s="13" t="s">
        <v>226</v>
      </c>
      <c r="B328" s="13" t="s">
        <v>241</v>
      </c>
      <c r="C328" s="13" t="s">
        <v>242</v>
      </c>
      <c r="D328" s="13" t="s">
        <v>243</v>
      </c>
      <c r="E328" s="13" t="s">
        <v>244</v>
      </c>
      <c r="F328" s="13" t="s">
        <v>245</v>
      </c>
      <c r="G328" s="13" t="s">
        <v>246</v>
      </c>
    </row>
    <row r="329" customFormat="false" ht="12.8" hidden="false" customHeight="false" outlineLevel="0" collapsed="false">
      <c r="A329" s="0" t="s">
        <v>247</v>
      </c>
      <c r="C329" s="0" t="n">
        <f aca="false">Inputs!$C$13*Calculos!$B$312</f>
        <v>24000</v>
      </c>
      <c r="D329" s="0" t="n">
        <f aca="false">Inputs!$C$14*Calculos!$B$312</f>
        <v>33600</v>
      </c>
      <c r="E329" s="0" t="n">
        <f aca="false">Inputs!$C$15*Calculos!$B$312</f>
        <v>43200</v>
      </c>
      <c r="F329" s="0" t="n">
        <f aca="false">Inputs!$C$16*Calculos!$B$312</f>
        <v>52800</v>
      </c>
      <c r="G329" s="0" t="n">
        <f aca="false">Inputs!$C$17*Calculos!$B$312</f>
        <v>57600</v>
      </c>
    </row>
    <row r="330" customFormat="false" ht="12.8" hidden="false" customHeight="false" outlineLevel="0" collapsed="false">
      <c r="A330" s="0" t="s">
        <v>293</v>
      </c>
      <c r="C330" s="0" t="n">
        <f aca="false">(1+Inputs!$C$8)^1</f>
        <v>1.03</v>
      </c>
      <c r="D330" s="0" t="n">
        <f aca="false">(1+Inputs!$C$8)^2</f>
        <v>1.0609</v>
      </c>
      <c r="E330" s="0" t="n">
        <f aca="false">(1+Inputs!$C$8)^3</f>
        <v>1.092727</v>
      </c>
      <c r="F330" s="0" t="n">
        <f aca="false">(1+Inputs!$C$8)^4</f>
        <v>1.12550881</v>
      </c>
      <c r="G330" s="0" t="n">
        <f aca="false">(1+Inputs!$C$8)^5</f>
        <v>1.1592740743</v>
      </c>
    </row>
    <row r="331" customFormat="false" ht="12.8" hidden="false" customHeight="false" outlineLevel="0" collapsed="false">
      <c r="A331" s="0" t="s">
        <v>248</v>
      </c>
      <c r="B331" s="72"/>
      <c r="C331" s="71" t="n">
        <f aca="false">Inputs!$C$12*Calculos!$B$311*Calculos!$C$330</f>
        <v>4758.6</v>
      </c>
      <c r="D331" s="71" t="n">
        <f aca="false">Inputs!$C$12*Calculos!$B$311*Calculos!$D$330</f>
        <v>4901.358</v>
      </c>
      <c r="E331" s="71" t="n">
        <f aca="false">Inputs!$C$12*Calculos!$B$311*Calculos!$E$330</f>
        <v>5048.39874</v>
      </c>
      <c r="F331" s="71" t="n">
        <f aca="false">Inputs!$C$12*Calculos!$B$311*Calculos!$F$330</f>
        <v>5199.8507022</v>
      </c>
      <c r="G331" s="71" t="n">
        <f aca="false">Inputs!$C$12*Calculos!$B$311*Calculos!$G$330</f>
        <v>5355.846223266</v>
      </c>
    </row>
    <row r="332" customFormat="false" ht="12.8" hidden="false" customHeight="false" outlineLevel="0" collapsed="false">
      <c r="A332" s="0" t="s">
        <v>294</v>
      </c>
      <c r="B332" s="72"/>
      <c r="C332" s="71" t="n">
        <f aca="false">Calculos!$B$320*Calculos!$B$313*Calculos!$C$330</f>
        <v>2732.5514368</v>
      </c>
      <c r="D332" s="71" t="n">
        <f aca="false">Calculos!$B$320*Calculos!$B$313*Calculos!$D$330</f>
        <v>2814.527979904</v>
      </c>
      <c r="E332" s="71" t="n">
        <f aca="false">Calculos!$B$320*Calculos!$B$313*Calculos!$E$330</f>
        <v>2898.96381930112</v>
      </c>
      <c r="F332" s="71" t="n">
        <f aca="false">Calculos!$B$320*Calculos!$B$313*Calculos!$F$330</f>
        <v>2985.93273388015</v>
      </c>
      <c r="G332" s="71" t="n">
        <f aca="false">Calculos!$B$320*Calculos!$B$313*Calculos!$G$330</f>
        <v>3075.51071589656</v>
      </c>
    </row>
    <row r="333" customFormat="false" ht="12.8" hidden="false" customHeight="false" outlineLevel="0" collapsed="false">
      <c r="A333" s="0" t="s">
        <v>249</v>
      </c>
      <c r="B333" s="72"/>
      <c r="C333" s="71" t="n">
        <f aca="false">Calculos!$C$329*Calculos!$C$331</f>
        <v>114206400</v>
      </c>
      <c r="D333" s="71" t="n">
        <f aca="false">Calculos!$D$329*Calculos!$D$331</f>
        <v>164685628.8</v>
      </c>
      <c r="E333" s="71" t="n">
        <f aca="false">Calculos!$E$329*Calculos!$E$331</f>
        <v>218090825.568</v>
      </c>
      <c r="F333" s="71" t="n">
        <f aca="false">Calculos!$F$329*Calculos!$F$331</f>
        <v>274552117.07616</v>
      </c>
      <c r="G333" s="71" t="n">
        <f aca="false">Calculos!$G$329*Calculos!$G$331</f>
        <v>308496742.460122</v>
      </c>
    </row>
    <row r="334" customFormat="false" ht="12.8" hidden="false" customHeight="false" outlineLevel="0" collapsed="false">
      <c r="A334" s="0" t="s">
        <v>250</v>
      </c>
      <c r="B334" s="72"/>
      <c r="C334" s="71" t="n">
        <f aca="false">Calculos!$C$329*Calculos!$C$332</f>
        <v>65581234.4832</v>
      </c>
      <c r="D334" s="71" t="n">
        <f aca="false">Calculos!$D$329*Calculos!$D$332</f>
        <v>94568140.1247744</v>
      </c>
      <c r="E334" s="71" t="n">
        <f aca="false">Calculos!$E$329*Calculos!$E$332</f>
        <v>125235236.993808</v>
      </c>
      <c r="F334" s="71" t="n">
        <f aca="false">Calculos!$F$329*Calculos!$F$332</f>
        <v>157657248.348872</v>
      </c>
      <c r="G334" s="71" t="n">
        <f aca="false">Calculos!$G$329*Calculos!$G$332</f>
        <v>177149417.235642</v>
      </c>
    </row>
    <row r="335" customFormat="false" ht="12.8" hidden="false" customHeight="false" outlineLevel="0" collapsed="false">
      <c r="A335" s="0" t="s">
        <v>251</v>
      </c>
      <c r="B335" s="72"/>
      <c r="C335" s="71" t="n">
        <f aca="false">Calculos!$B$321*12*Calculos!$B$314*Calculos!$C$330</f>
        <v>50969179.2</v>
      </c>
      <c r="D335" s="71" t="n">
        <f aca="false">Calculos!$B$321*12*Calculos!$B$314*Calculos!$D$330</f>
        <v>52498254.576</v>
      </c>
      <c r="E335" s="71" t="n">
        <f aca="false">Calculos!$B$321*12*Calculos!$B$314*Calculos!$E$330</f>
        <v>54073202.21328</v>
      </c>
      <c r="F335" s="71" t="n">
        <f aca="false">Calculos!$B$321*12*Calculos!$B$314*Calculos!$F$330</f>
        <v>55695398.2796784</v>
      </c>
      <c r="G335" s="71" t="n">
        <f aca="false">Calculos!$B$321*12*Calculos!$B$314*Calculos!$G$330</f>
        <v>57366260.2280688</v>
      </c>
    </row>
    <row r="336" customFormat="false" ht="12.8" hidden="false" customHeight="false" outlineLevel="0" collapsed="false">
      <c r="A336" s="0" t="s">
        <v>252</v>
      </c>
      <c r="B336" s="72"/>
      <c r="C336" s="71" t="n">
        <f aca="false">Calculos!$C$333-Calculos!$C$334-Calculos!$C$335</f>
        <v>-2344013.68319999</v>
      </c>
      <c r="D336" s="71" t="n">
        <f aca="false">Calculos!$D$333-Calculos!$D$334-Calculos!$D$335</f>
        <v>17619234.0992256</v>
      </c>
      <c r="E336" s="71" t="n">
        <f aca="false">Calculos!$E$333-Calculos!$E$334-Calculos!$E$335</f>
        <v>38782386.3609116</v>
      </c>
      <c r="F336" s="71" t="n">
        <f aca="false">Calculos!$F$333-Calculos!$F$334-Calculos!$F$335</f>
        <v>61199470.4476095</v>
      </c>
      <c r="G336" s="71" t="n">
        <f aca="false">Calculos!$G$333-Calculos!$G$334-Calculos!$G$335</f>
        <v>73981064.9964111</v>
      </c>
    </row>
    <row r="337" customFormat="false" ht="12.8" hidden="false" customHeight="false" outlineLevel="0" collapsed="false">
      <c r="A337" s="0" t="s">
        <v>253</v>
      </c>
      <c r="B337" s="72"/>
      <c r="C337" s="71" t="n">
        <f aca="false">Calculos!$B$324</f>
        <v>5092306.7775</v>
      </c>
      <c r="D337" s="71" t="n">
        <f aca="false">Calculos!$B$324</f>
        <v>5092306.7775</v>
      </c>
      <c r="E337" s="71" t="n">
        <f aca="false">Calculos!$B$324</f>
        <v>5092306.7775</v>
      </c>
      <c r="F337" s="71" t="n">
        <f aca="false">Calculos!$B$324</f>
        <v>5092306.7775</v>
      </c>
      <c r="G337" s="71" t="n">
        <f aca="false">Calculos!$B$324</f>
        <v>5092306.7775</v>
      </c>
    </row>
    <row r="338" customFormat="false" ht="12.8" hidden="false" customHeight="false" outlineLevel="0" collapsed="false">
      <c r="A338" s="0" t="s">
        <v>254</v>
      </c>
      <c r="B338" s="72"/>
      <c r="C338" s="71" t="n">
        <f aca="false">Calculos!$C$336-Calculos!$C$337</f>
        <v>-7436320.46069999</v>
      </c>
      <c r="D338" s="71" t="n">
        <f aca="false">Calculos!$D$336-Calculos!$D$337</f>
        <v>12526927.3217256</v>
      </c>
      <c r="E338" s="71" t="n">
        <f aca="false">Calculos!$E$336-Calculos!$E$337</f>
        <v>33690079.5834116</v>
      </c>
      <c r="F338" s="71" t="n">
        <f aca="false">Calculos!$F$336-Calculos!$F$337</f>
        <v>56107163.6701095</v>
      </c>
      <c r="G338" s="71" t="n">
        <f aca="false">Calculos!$G$336-Calculos!$G$337</f>
        <v>68888758.2189111</v>
      </c>
    </row>
    <row r="339" customFormat="false" ht="12.8" hidden="false" customHeight="false" outlineLevel="0" collapsed="false">
      <c r="A339" s="0" t="s">
        <v>255</v>
      </c>
      <c r="B339" s="72"/>
      <c r="C339" s="72" t="n">
        <f aca="false">0</f>
        <v>0</v>
      </c>
      <c r="D339" s="72" t="n">
        <f aca="false">Calculos!$C$342</f>
        <v>7436320.46069999</v>
      </c>
      <c r="E339" s="72" t="n">
        <f aca="false">Calculos!$D$342</f>
        <v>0</v>
      </c>
      <c r="F339" s="72" t="n">
        <f aca="false">Calculos!$E$342</f>
        <v>0</v>
      </c>
      <c r="G339" s="72" t="n">
        <f aca="false">Calculos!$F$342</f>
        <v>0</v>
      </c>
    </row>
    <row r="340" customFormat="false" ht="12.8" hidden="false" customHeight="false" outlineLevel="0" collapsed="false">
      <c r="A340" s="0" t="s">
        <v>256</v>
      </c>
      <c r="B340" s="72"/>
      <c r="C340" s="72" t="n">
        <f aca="false">MAX(0,Calculos!$C$338-Calculos!$C$339)</f>
        <v>0</v>
      </c>
      <c r="D340" s="72" t="n">
        <f aca="false">MAX(0,Calculos!$D$338-Calculos!$D$339)</f>
        <v>5090606.86102563</v>
      </c>
      <c r="E340" s="72" t="n">
        <f aca="false">MAX(0,Calculos!$E$338-Calculos!$E$339)</f>
        <v>33690079.5834116</v>
      </c>
      <c r="F340" s="72" t="n">
        <f aca="false">MAX(0,Calculos!$F$338-Calculos!$F$339)</f>
        <v>56107163.6701095</v>
      </c>
      <c r="G340" s="72" t="n">
        <f aca="false">MAX(0,Calculos!$G$338-Calculos!$G$339)</f>
        <v>68888758.2189111</v>
      </c>
    </row>
    <row r="341" customFormat="false" ht="12.8" hidden="false" customHeight="false" outlineLevel="0" collapsed="false">
      <c r="A341" s="0" t="s">
        <v>257</v>
      </c>
      <c r="B341" s="72"/>
      <c r="C341" s="72" t="n">
        <f aca="false">Calculos!$C$340*Inputs!$C$19</f>
        <v>0</v>
      </c>
      <c r="D341" s="72" t="n">
        <f aca="false">Calculos!$D$340*Inputs!$C$20</f>
        <v>763591.029153845</v>
      </c>
      <c r="E341" s="72" t="n">
        <f aca="false">Calculos!$E$340*Inputs!$C$21</f>
        <v>8422519.8958529</v>
      </c>
      <c r="F341" s="72" t="n">
        <f aca="false">Calculos!$F$340*Inputs!$C$22</f>
        <v>14026790.9175274</v>
      </c>
      <c r="G341" s="72" t="n">
        <f aca="false">Calculos!$G$340*Inputs!$C$23</f>
        <v>17222189.5547278</v>
      </c>
    </row>
    <row r="342" customFormat="false" ht="12.8" hidden="false" customHeight="false" outlineLevel="0" collapsed="false">
      <c r="A342" s="0" t="s">
        <v>258</v>
      </c>
      <c r="B342" s="72"/>
      <c r="C342" s="72" t="n">
        <f aca="false">MAX(0,Calculos!$C$339-Calculos!$C$338)</f>
        <v>7436320.46069999</v>
      </c>
      <c r="D342" s="72" t="n">
        <f aca="false">MAX(0,Calculos!$D$339-Calculos!$D$338)</f>
        <v>0</v>
      </c>
      <c r="E342" s="72" t="n">
        <f aca="false">MAX(0,Calculos!$E$339-Calculos!$E$338)</f>
        <v>0</v>
      </c>
      <c r="F342" s="72" t="n">
        <f aca="false">MAX(0,Calculos!$F$339-Calculos!$F$338)</f>
        <v>0</v>
      </c>
      <c r="G342" s="72" t="n">
        <f aca="false">MAX(0,Calculos!$G$339-Calculos!$G$338)</f>
        <v>0</v>
      </c>
    </row>
    <row r="343" customFormat="false" ht="12.8" hidden="false" customHeight="false" outlineLevel="0" collapsed="false">
      <c r="A343" s="0" t="s">
        <v>259</v>
      </c>
      <c r="B343" s="72"/>
      <c r="C343" s="71" t="n">
        <f aca="false">Calculos!$C$333*Inputs!$C$48/365+Calculos!$C$334*Inputs!$C$49/365-Calculos!$C$334*Inputs!$C$50/365</f>
        <v>12081946.6225973</v>
      </c>
      <c r="D343" s="71" t="n">
        <f aca="false">Calculos!$D$333*Inputs!$C$48/365+Calculos!$D$334*Inputs!$C$49/365-Calculos!$D$334*Inputs!$C$50/365</f>
        <v>17422167.0297853</v>
      </c>
      <c r="E343" s="71" t="n">
        <f aca="false">Calculos!$E$333*Inputs!$C$48/365+Calculos!$E$334*Inputs!$C$49/365-Calculos!$E$334*Inputs!$C$50/365</f>
        <v>23071926.9094442</v>
      </c>
      <c r="F343" s="71" t="n">
        <f aca="false">Calculos!$F$333*Inputs!$C$48/365+Calculos!$F$334*Inputs!$C$49/365-Calculos!$F$334*Inputs!$C$50/365</f>
        <v>29044992.4315558</v>
      </c>
      <c r="G343" s="71" t="n">
        <f aca="false">Calculos!$G$333*Inputs!$C$48/365+Calculos!$G$334*Inputs!$C$49/365-Calculos!$G$334*Inputs!$C$50/365</f>
        <v>32636009.6776391</v>
      </c>
    </row>
    <row r="344" customFormat="false" ht="12.8" hidden="false" customHeight="false" outlineLevel="0" collapsed="false">
      <c r="A344" s="0" t="s">
        <v>260</v>
      </c>
      <c r="B344" s="72"/>
      <c r="C344" s="71" t="n">
        <f aca="false">Calculos!$C$343-Calculos!$C$343</f>
        <v>0</v>
      </c>
      <c r="D344" s="71" t="n">
        <f aca="false">Calculos!$D$343-Calculos!$C$343</f>
        <v>5340220.40718799</v>
      </c>
      <c r="E344" s="71" t="n">
        <f aca="false">Calculos!$E$343-Calculos!$D$343</f>
        <v>5649759.87965893</v>
      </c>
      <c r="F344" s="71" t="n">
        <f aca="false">Calculos!$F$343-Calculos!$E$343</f>
        <v>5973065.52211167</v>
      </c>
      <c r="G344" s="71" t="n">
        <f aca="false">Calculos!$G$343-Calculos!$F$343</f>
        <v>3591017.24608327</v>
      </c>
    </row>
    <row r="345" customFormat="false" ht="12.8" hidden="false" customHeight="false" outlineLevel="0" collapsed="false">
      <c r="A345" s="0" t="s">
        <v>261</v>
      </c>
      <c r="B345" s="72"/>
      <c r="C345" s="72" t="n">
        <f aca="false">0</f>
        <v>0</v>
      </c>
      <c r="D345" s="72" t="n">
        <f aca="false">0</f>
        <v>0</v>
      </c>
      <c r="E345" s="72" t="n">
        <f aca="false">0</f>
        <v>0</v>
      </c>
      <c r="F345" s="72" t="n">
        <f aca="false">0</f>
        <v>0</v>
      </c>
      <c r="G345" s="71" t="n">
        <f aca="false">Calculos!$B$325*(1-Inputs!$C$23)+Calculos!$G$343+Calculos!$B$326</f>
        <v>36065064.7192016</v>
      </c>
    </row>
    <row r="346" customFormat="false" ht="12.8" hidden="false" customHeight="false" outlineLevel="0" collapsed="false">
      <c r="A346" s="0" t="s">
        <v>262</v>
      </c>
      <c r="B346" s="71" t="n">
        <f aca="false">-(Calculos!$B$323+Calculos!$B$326+Calculos!$C$343)</f>
        <v>-41562920.5100973</v>
      </c>
      <c r="C346" s="71" t="n">
        <f aca="false">Calculos!$C$336-Calculos!$C$341-Calculos!$C$344+Calculos!$C$345</f>
        <v>-2344013.68319999</v>
      </c>
      <c r="D346" s="71" t="n">
        <f aca="false">Calculos!$D$336-Calculos!$D$341-Calculos!$D$344+Calculos!$D$345</f>
        <v>11515422.6628838</v>
      </c>
      <c r="E346" s="71" t="n">
        <f aca="false">Calculos!$E$336-Calculos!$E$341-Calculos!$E$344+Calculos!$E$345</f>
        <v>24710106.5853998</v>
      </c>
      <c r="F346" s="71" t="n">
        <f aca="false">Calculos!$F$336-Calculos!$F$341-Calculos!$F$344+Calculos!$F$345</f>
        <v>41199614.0079705</v>
      </c>
      <c r="G346" s="71" t="n">
        <f aca="false">Calculos!$G$336-Calculos!$G$341-Calculos!$G$344+Calculos!$G$345</f>
        <v>89232922.9148017</v>
      </c>
    </row>
    <row r="347" customFormat="false" ht="12.8" hidden="false" customHeight="false" outlineLevel="0" collapsed="false">
      <c r="A347" s="0" t="s">
        <v>263</v>
      </c>
      <c r="B347" s="72" t="n">
        <v>1</v>
      </c>
      <c r="C347" s="72" t="n">
        <f aca="false">1/(1+Inputs!$C$7)^1</f>
        <v>0.869565217391304</v>
      </c>
      <c r="D347" s="72" t="n">
        <f aca="false">1/(1+Inputs!$C$7)^2</f>
        <v>0.756143667296787</v>
      </c>
      <c r="E347" s="72" t="n">
        <f aca="false">1/(1+Inputs!$C$7)^3</f>
        <v>0.657516232431988</v>
      </c>
      <c r="F347" s="72" t="n">
        <f aca="false">1/(1+Inputs!$C$7)^4</f>
        <v>0.571753245593033</v>
      </c>
      <c r="G347" s="72" t="n">
        <f aca="false">1/(1+Inputs!$C$7)^5</f>
        <v>0.49717673529829</v>
      </c>
    </row>
    <row r="348" customFormat="false" ht="12.8" hidden="false" customHeight="false" outlineLevel="0" collapsed="false">
      <c r="A348" s="0" t="s">
        <v>264</v>
      </c>
      <c r="B348" s="71" t="n">
        <f aca="false">Calculos!$B$346</f>
        <v>-41562920.5100973</v>
      </c>
      <c r="C348" s="71" t="n">
        <f aca="false">Calculos!$C$346*Calculos!$C$347</f>
        <v>-2038272.76799999</v>
      </c>
      <c r="D348" s="71" t="n">
        <f aca="false">Calculos!$D$346*Calculos!$D$347</f>
        <v>8707313.92278547</v>
      </c>
      <c r="E348" s="71" t="n">
        <f aca="false">Calculos!$E$346*Calculos!$E$347</f>
        <v>16247296.1850249</v>
      </c>
      <c r="F348" s="71" t="n">
        <f aca="false">Calculos!$F$346*Calculos!$F$347</f>
        <v>23556013.0262373</v>
      </c>
      <c r="G348" s="71" t="n">
        <f aca="false">Calculos!$G$346*Calculos!$G$347</f>
        <v>44364533.295905</v>
      </c>
    </row>
    <row r="349" customFormat="false" ht="12.8" hidden="false" customHeight="false" outlineLevel="0" collapsed="false">
      <c r="A349" s="0" t="s">
        <v>265</v>
      </c>
      <c r="B349" s="71" t="n">
        <f aca="false">Calculos!$B$346</f>
        <v>-41562920.5100973</v>
      </c>
      <c r="C349" s="71" t="n">
        <f aca="false">Calculos!$B$349+Calculos!$C$346</f>
        <v>-43906934.1932973</v>
      </c>
      <c r="D349" s="71" t="n">
        <f aca="false">Calculos!$C$349+Calculos!$D$346</f>
        <v>-32391511.5304135</v>
      </c>
      <c r="E349" s="71" t="n">
        <f aca="false">Calculos!$D$349+Calculos!$E$346</f>
        <v>-7681404.9450137</v>
      </c>
      <c r="F349" s="71" t="n">
        <f aca="false">Calculos!$E$349+Calculos!$F$346</f>
        <v>33518209.0629568</v>
      </c>
      <c r="G349" s="71" t="n">
        <f aca="false">Calculos!$F$349+Calculos!$G$346</f>
        <v>122751131.977758</v>
      </c>
    </row>
    <row r="350" customFormat="false" ht="12.8" hidden="false" customHeight="false" outlineLevel="0" collapsed="false">
      <c r="A350" s="0" t="s">
        <v>266</v>
      </c>
      <c r="B350" s="71" t="n">
        <f aca="false">Calculos!$B$348</f>
        <v>-41562920.5100973</v>
      </c>
      <c r="C350" s="71" t="n">
        <f aca="false">Calculos!$B$350+Calculos!$C$348</f>
        <v>-43601193.2780973</v>
      </c>
      <c r="D350" s="71" t="n">
        <f aca="false">Calculos!$C$350+Calculos!$D$348</f>
        <v>-34893879.3553118</v>
      </c>
      <c r="E350" s="71" t="n">
        <f aca="false">Calculos!$D$350+Calculos!$E$348</f>
        <v>-18646583.1702869</v>
      </c>
      <c r="F350" s="71" t="n">
        <f aca="false">Calculos!$E$350+Calculos!$F$348</f>
        <v>4909429.85595045</v>
      </c>
      <c r="G350" s="71" t="n">
        <f aca="false">Calculos!$F$350+Calculos!$G$348</f>
        <v>49273963.1518555</v>
      </c>
    </row>
    <row r="352" customFormat="false" ht="12.8" hidden="false" customHeight="false" outlineLevel="0" collapsed="false">
      <c r="A352" s="0" t="s">
        <v>3</v>
      </c>
      <c r="B352" s="72" t="n">
        <f aca="false">-Calculos!$B$346</f>
        <v>41562920.5100973</v>
      </c>
    </row>
    <row r="353" customFormat="false" ht="12.8" hidden="false" customHeight="false" outlineLevel="0" collapsed="false">
      <c r="A353" s="0" t="s">
        <v>7</v>
      </c>
      <c r="B353" s="71" t="n">
        <f aca="false">SUM(Calculos!$B$348:$G$348)</f>
        <v>49273963.1518555</v>
      </c>
    </row>
    <row r="354" customFormat="false" ht="12.8" hidden="false" customHeight="false" outlineLevel="0" collapsed="false">
      <c r="A354" s="0" t="s">
        <v>9</v>
      </c>
      <c r="B354" s="73" t="n">
        <f aca="false">IFERROR(IRR(Calculos!$B$346:$G$346),-1)</f>
        <v>0.391204276641233</v>
      </c>
    </row>
    <row r="355" customFormat="false" ht="12.8" hidden="false" customHeight="false" outlineLevel="0" collapsed="false">
      <c r="A355" s="0" t="s">
        <v>10</v>
      </c>
      <c r="B355" s="0" t="n">
        <f aca="false">IFERROR(IF(Calculos!$C$350&gt;=0,0+(-Calculos!$B$350/Calculos!$C$348),IF(Calculos!$D$350&gt;=0,1+(-Calculos!$C$350/Calculos!$D$348),IF(Calculos!$E$350&gt;=0,2+(-Calculos!$D$350/Calculos!$E$348),IF(Calculos!$F$350&gt;=0,3+(-Calculos!$E$350/Calculos!$F$348),IF(Calculos!$G$350&gt;=0,4+(-Calculos!$F$350/Calculos!$G$348),NA()))))),99)</f>
        <v>3.79158485561703</v>
      </c>
    </row>
    <row r="356" customFormat="false" ht="12.8" hidden="false" customHeight="false" outlineLevel="0" collapsed="false">
      <c r="A356" s="0" t="s">
        <v>12</v>
      </c>
      <c r="B356" s="0" t="n">
        <f aca="false">(Calculos!$C$348+Calculos!$D$348+Calculos!$E$348+Calculos!$F$348+Calculos!$G$348)/(-Calculos!$B$346)</f>
        <v>2.18552696844017</v>
      </c>
    </row>
    <row r="357" customFormat="false" ht="12.8" hidden="false" customHeight="false" outlineLevel="0" collapsed="false">
      <c r="A357" s="0" t="s">
        <v>5</v>
      </c>
      <c r="B357" s="71" t="n">
        <f aca="false">-MIN(Calculos!$B$349:$G$349)</f>
        <v>43906934.1932973</v>
      </c>
    </row>
    <row r="358" customFormat="false" ht="12.8" hidden="false" customHeight="false" outlineLevel="0" collapsed="false">
      <c r="A358" s="0" t="s">
        <v>13</v>
      </c>
      <c r="B358" s="0" t="n">
        <f aca="false">IF((Calculos!$C$331-Calculos!$C$332)&gt;0,Calculos!$C$335/(Calculos!$C$331-Calculos!$C$332)/12,NA())</f>
        <v>2096.41154567958</v>
      </c>
    </row>
    <row r="361" customFormat="false" ht="12.8" hidden="false" customHeight="false" outlineLevel="0" collapsed="false">
      <c r="A361" s="69" t="s">
        <v>301</v>
      </c>
      <c r="B361" s="69"/>
      <c r="C361" s="69"/>
      <c r="D361" s="69"/>
      <c r="E361" s="69"/>
      <c r="F361" s="69"/>
      <c r="G361" s="69"/>
    </row>
    <row r="362" customFormat="false" ht="12.8" hidden="false" customHeight="false" outlineLevel="0" collapsed="false">
      <c r="A362" s="0" t="s">
        <v>248</v>
      </c>
      <c r="B362" s="74" t="n">
        <f aca="false">Inputs!$C$84</f>
        <v>0.9</v>
      </c>
    </row>
    <row r="363" customFormat="false" ht="12.8" hidden="false" customHeight="false" outlineLevel="0" collapsed="false">
      <c r="A363" s="0" t="s">
        <v>247</v>
      </c>
      <c r="B363" s="0" t="n">
        <f aca="false">1</f>
        <v>1</v>
      </c>
    </row>
    <row r="364" customFormat="false" ht="12.8" hidden="false" customHeight="false" outlineLevel="0" collapsed="false">
      <c r="A364" s="0" t="s">
        <v>280</v>
      </c>
      <c r="B364" s="0" t="n">
        <f aca="false">1</f>
        <v>1</v>
      </c>
    </row>
    <row r="365" customFormat="false" ht="12.8" hidden="false" customHeight="false" outlineLevel="0" collapsed="false">
      <c r="A365" s="0" t="s">
        <v>281</v>
      </c>
      <c r="B365" s="0" t="n">
        <f aca="false">1</f>
        <v>1</v>
      </c>
    </row>
    <row r="366" customFormat="false" ht="12.8" hidden="false" customHeight="false" outlineLevel="0" collapsed="false">
      <c r="A366" s="0" t="s">
        <v>282</v>
      </c>
      <c r="B366" s="0" t="n">
        <f aca="false">1</f>
        <v>1</v>
      </c>
    </row>
    <row r="368" customFormat="false" ht="12.8" hidden="false" customHeight="false" outlineLevel="0" collapsed="false">
      <c r="A368" s="0" t="s">
        <v>283</v>
      </c>
      <c r="B368" s="71" t="n">
        <f aca="false">Inputs!$C$52+Inputs!$C$53+Inputs!$C$54+Inputs!$C$55+Inputs!$C$56+Inputs!$C$57+Inputs!$C$58+Inputs!$C$59</f>
        <v>8817795</v>
      </c>
    </row>
    <row r="369" customFormat="false" ht="12.8" hidden="false" customHeight="false" outlineLevel="0" collapsed="false">
      <c r="A369" s="0" t="s">
        <v>284</v>
      </c>
      <c r="B369" s="71" t="n">
        <f aca="false">Calculos!$B$368*Inputs!$C$60</f>
        <v>1322669.25</v>
      </c>
    </row>
    <row r="370" customFormat="false" ht="12.8" hidden="false" customHeight="false" outlineLevel="0" collapsed="false">
      <c r="A370" s="0" t="s">
        <v>285</v>
      </c>
      <c r="B370" s="72" t="n">
        <f aca="false">IF(Inputs!$C$40&gt;0,Inputs!$C$40,Inputs!$C$38*Inputs!$C$39)</f>
        <v>759720</v>
      </c>
    </row>
    <row r="371" customFormat="false" ht="12.8" hidden="false" customHeight="false" outlineLevel="0" collapsed="false">
      <c r="A371" s="0" t="s">
        <v>286</v>
      </c>
      <c r="B371" s="71" t="n">
        <f aca="false">((Inputs!$C$25*Inputs!$C$34+Inputs!$C$26*Inputs!$C$35+Inputs!$C$27*Inputs!$C$36+Inputs!$C$28)*(1+Inputs!$C$32)+Inputs!$C$29+Inputs!$C$30+Inputs!$C$31)</f>
        <v>2652.96256</v>
      </c>
    </row>
    <row r="372" customFormat="false" ht="12.8" hidden="false" customHeight="false" outlineLevel="0" collapsed="false">
      <c r="A372" s="0" t="s">
        <v>287</v>
      </c>
      <c r="B372" s="71" t="n">
        <f aca="false">(Calculos!$B$370+Inputs!$C$41*Inputs!$C$42+Inputs!$C$43+Inputs!$C$44+Inputs!$C$45+Inputs!$C$46+Inputs!$C$47)</f>
        <v>4123720</v>
      </c>
    </row>
    <row r="373" customFormat="false" ht="12.8" hidden="false" customHeight="false" outlineLevel="0" collapsed="false">
      <c r="A373" s="0" t="s">
        <v>288</v>
      </c>
      <c r="B373" s="71" t="n">
        <f aca="false">(Calculos!$B$368+Calculos!$B$369+Inputs!$C$61)*(1+Inputs!$C$64)*Calculos!$B$366</f>
        <v>25461533.8875</v>
      </c>
    </row>
    <row r="374" customFormat="false" ht="12.8" hidden="false" customHeight="false" outlineLevel="0" collapsed="false">
      <c r="A374" s="0" t="s">
        <v>289</v>
      </c>
      <c r="B374" s="71" t="n">
        <f aca="false">Calculos!$B$373+(Inputs!$C$62+Inputs!$C$63)*Calculos!$B$366</f>
        <v>27961533.8875</v>
      </c>
    </row>
    <row r="375" customFormat="false" ht="12.8" hidden="false" customHeight="false" outlineLevel="0" collapsed="false">
      <c r="A375" s="0" t="s">
        <v>290</v>
      </c>
      <c r="B375" s="71" t="n">
        <f aca="false">Calculos!$B$373/Inputs!$C$66</f>
        <v>5092306.7775</v>
      </c>
    </row>
    <row r="376" customFormat="false" ht="12.8" hidden="false" customHeight="false" outlineLevel="0" collapsed="false">
      <c r="A376" s="0" t="s">
        <v>291</v>
      </c>
      <c r="B376" s="71" t="n">
        <f aca="false">Calculos!$B$373*Inputs!$C$67</f>
        <v>2546153.38875</v>
      </c>
    </row>
    <row r="377" customFormat="false" ht="12.8" hidden="false" customHeight="false" outlineLevel="0" collapsed="false">
      <c r="A377" s="0" t="s">
        <v>292</v>
      </c>
      <c r="B377" s="72" t="n">
        <f aca="false">Calculos!$B$370*Inputs!$C$65</f>
        <v>1519440</v>
      </c>
    </row>
    <row r="379" customFormat="false" ht="18.45" hidden="false" customHeight="true" outlineLevel="0" collapsed="false">
      <c r="A379" s="13" t="s">
        <v>226</v>
      </c>
      <c r="B379" s="13" t="s">
        <v>241</v>
      </c>
      <c r="C379" s="13" t="s">
        <v>242</v>
      </c>
      <c r="D379" s="13" t="s">
        <v>243</v>
      </c>
      <c r="E379" s="13" t="s">
        <v>244</v>
      </c>
      <c r="F379" s="13" t="s">
        <v>245</v>
      </c>
      <c r="G379" s="13" t="s">
        <v>246</v>
      </c>
    </row>
    <row r="380" customFormat="false" ht="12.8" hidden="false" customHeight="false" outlineLevel="0" collapsed="false">
      <c r="A380" s="0" t="s">
        <v>247</v>
      </c>
      <c r="C380" s="0" t="n">
        <f aca="false">Inputs!$C$13*Calculos!$B$363</f>
        <v>30000</v>
      </c>
      <c r="D380" s="0" t="n">
        <f aca="false">Inputs!$C$14*Calculos!$B$363</f>
        <v>42000</v>
      </c>
      <c r="E380" s="0" t="n">
        <f aca="false">Inputs!$C$15*Calculos!$B$363</f>
        <v>54000</v>
      </c>
      <c r="F380" s="0" t="n">
        <f aca="false">Inputs!$C$16*Calculos!$B$363</f>
        <v>66000</v>
      </c>
      <c r="G380" s="0" t="n">
        <f aca="false">Inputs!$C$17*Calculos!$B$363</f>
        <v>72000</v>
      </c>
    </row>
    <row r="381" customFormat="false" ht="12.8" hidden="false" customHeight="false" outlineLevel="0" collapsed="false">
      <c r="A381" s="0" t="s">
        <v>293</v>
      </c>
      <c r="C381" s="0" t="n">
        <f aca="false">(1+Inputs!$C$8)^1</f>
        <v>1.03</v>
      </c>
      <c r="D381" s="0" t="n">
        <f aca="false">(1+Inputs!$C$8)^2</f>
        <v>1.0609</v>
      </c>
      <c r="E381" s="0" t="n">
        <f aca="false">(1+Inputs!$C$8)^3</f>
        <v>1.092727</v>
      </c>
      <c r="F381" s="0" t="n">
        <f aca="false">(1+Inputs!$C$8)^4</f>
        <v>1.12550881</v>
      </c>
      <c r="G381" s="0" t="n">
        <f aca="false">(1+Inputs!$C$8)^5</f>
        <v>1.1592740743</v>
      </c>
    </row>
    <row r="382" customFormat="false" ht="12.8" hidden="false" customHeight="false" outlineLevel="0" collapsed="false">
      <c r="A382" s="0" t="s">
        <v>248</v>
      </c>
      <c r="B382" s="72"/>
      <c r="C382" s="71" t="n">
        <f aca="false">Inputs!$C$12*Calculos!$B$362*Calculos!$C$381</f>
        <v>3893.4</v>
      </c>
      <c r="D382" s="71" t="n">
        <f aca="false">Inputs!$C$12*Calculos!$B$362*Calculos!$D$381</f>
        <v>4010.202</v>
      </c>
      <c r="E382" s="71" t="n">
        <f aca="false">Inputs!$C$12*Calculos!$B$362*Calculos!$E$381</f>
        <v>4130.50806</v>
      </c>
      <c r="F382" s="71" t="n">
        <f aca="false">Inputs!$C$12*Calculos!$B$362*Calculos!$F$381</f>
        <v>4254.4233018</v>
      </c>
      <c r="G382" s="71" t="n">
        <f aca="false">Inputs!$C$12*Calculos!$B$362*Calculos!$G$381</f>
        <v>4382.056000854</v>
      </c>
    </row>
    <row r="383" customFormat="false" ht="12.8" hidden="false" customHeight="false" outlineLevel="0" collapsed="false">
      <c r="A383" s="0" t="s">
        <v>294</v>
      </c>
      <c r="B383" s="72"/>
      <c r="C383" s="71" t="n">
        <f aca="false">Calculos!$B$371*Calculos!$B$364*Calculos!$C$381</f>
        <v>2732.5514368</v>
      </c>
      <c r="D383" s="71" t="n">
        <f aca="false">Calculos!$B$371*Calculos!$B$364*Calculos!$D$381</f>
        <v>2814.527979904</v>
      </c>
      <c r="E383" s="71" t="n">
        <f aca="false">Calculos!$B$371*Calculos!$B$364*Calculos!$E$381</f>
        <v>2898.96381930112</v>
      </c>
      <c r="F383" s="71" t="n">
        <f aca="false">Calculos!$B$371*Calculos!$B$364*Calculos!$F$381</f>
        <v>2985.93273388015</v>
      </c>
      <c r="G383" s="71" t="n">
        <f aca="false">Calculos!$B$371*Calculos!$B$364*Calculos!$G$381</f>
        <v>3075.51071589656</v>
      </c>
    </row>
    <row r="384" customFormat="false" ht="12.8" hidden="false" customHeight="false" outlineLevel="0" collapsed="false">
      <c r="A384" s="0" t="s">
        <v>249</v>
      </c>
      <c r="B384" s="72"/>
      <c r="C384" s="71" t="n">
        <f aca="false">Calculos!$C$380*Calculos!$C$382</f>
        <v>116802000</v>
      </c>
      <c r="D384" s="71" t="n">
        <f aca="false">Calculos!$D$380*Calculos!$D$382</f>
        <v>168428484</v>
      </c>
      <c r="E384" s="71" t="n">
        <f aca="false">Calculos!$E$380*Calculos!$E$382</f>
        <v>223047435.24</v>
      </c>
      <c r="F384" s="71" t="n">
        <f aca="false">Calculos!$F$380*Calculos!$F$382</f>
        <v>280791937.9188</v>
      </c>
      <c r="G384" s="71" t="n">
        <f aca="false">Calculos!$G$380*Calculos!$G$382</f>
        <v>315508032.061488</v>
      </c>
    </row>
    <row r="385" customFormat="false" ht="12.8" hidden="false" customHeight="false" outlineLevel="0" collapsed="false">
      <c r="A385" s="0" t="s">
        <v>250</v>
      </c>
      <c r="B385" s="72"/>
      <c r="C385" s="71" t="n">
        <f aca="false">Calculos!$C$380*Calculos!$C$383</f>
        <v>81976543.104</v>
      </c>
      <c r="D385" s="71" t="n">
        <f aca="false">Calculos!$D$380*Calculos!$D$383</f>
        <v>118210175.155968</v>
      </c>
      <c r="E385" s="71" t="n">
        <f aca="false">Calculos!$E$380*Calculos!$E$383</f>
        <v>156544046.242261</v>
      </c>
      <c r="F385" s="71" t="n">
        <f aca="false">Calculos!$F$380*Calculos!$F$383</f>
        <v>197071560.43609</v>
      </c>
      <c r="G385" s="71" t="n">
        <f aca="false">Calculos!$G$380*Calculos!$G$383</f>
        <v>221436771.544552</v>
      </c>
    </row>
    <row r="386" customFormat="false" ht="12.8" hidden="false" customHeight="false" outlineLevel="0" collapsed="false">
      <c r="A386" s="0" t="s">
        <v>251</v>
      </c>
      <c r="B386" s="72"/>
      <c r="C386" s="71" t="n">
        <f aca="false">Calculos!$B$372*12*Calculos!$B$365*Calculos!$C$381</f>
        <v>50969179.2</v>
      </c>
      <c r="D386" s="71" t="n">
        <f aca="false">Calculos!$B$372*12*Calculos!$B$365*Calculos!$D$381</f>
        <v>52498254.576</v>
      </c>
      <c r="E386" s="71" t="n">
        <f aca="false">Calculos!$B$372*12*Calculos!$B$365*Calculos!$E$381</f>
        <v>54073202.21328</v>
      </c>
      <c r="F386" s="71" t="n">
        <f aca="false">Calculos!$B$372*12*Calculos!$B$365*Calculos!$F$381</f>
        <v>55695398.2796784</v>
      </c>
      <c r="G386" s="71" t="n">
        <f aca="false">Calculos!$B$372*12*Calculos!$B$365*Calculos!$G$381</f>
        <v>57366260.2280688</v>
      </c>
    </row>
    <row r="387" customFormat="false" ht="12.8" hidden="false" customHeight="false" outlineLevel="0" collapsed="false">
      <c r="A387" s="0" t="s">
        <v>252</v>
      </c>
      <c r="B387" s="72"/>
      <c r="C387" s="71" t="n">
        <f aca="false">Calculos!$C$384-Calculos!$C$385-Calculos!$C$386</f>
        <v>-16143722.304</v>
      </c>
      <c r="D387" s="71" t="n">
        <f aca="false">Calculos!$D$384-Calculos!$D$385-Calculos!$D$386</f>
        <v>-2279945.73196799</v>
      </c>
      <c r="E387" s="71" t="n">
        <f aca="false">Calculos!$E$384-Calculos!$E$385-Calculos!$E$386</f>
        <v>12430186.7844595</v>
      </c>
      <c r="F387" s="71" t="n">
        <f aca="false">Calculos!$F$384-Calculos!$F$385-Calculos!$F$386</f>
        <v>28024979.2030315</v>
      </c>
      <c r="G387" s="71" t="n">
        <f aca="false">Calculos!$G$384-Calculos!$G$385-Calculos!$G$386</f>
        <v>36705000.2888671</v>
      </c>
    </row>
    <row r="388" customFormat="false" ht="12.8" hidden="false" customHeight="false" outlineLevel="0" collapsed="false">
      <c r="A388" s="0" t="s">
        <v>253</v>
      </c>
      <c r="B388" s="72"/>
      <c r="C388" s="71" t="n">
        <f aca="false">Calculos!$B$375</f>
        <v>5092306.7775</v>
      </c>
      <c r="D388" s="71" t="n">
        <f aca="false">Calculos!$B$375</f>
        <v>5092306.7775</v>
      </c>
      <c r="E388" s="71" t="n">
        <f aca="false">Calculos!$B$375</f>
        <v>5092306.7775</v>
      </c>
      <c r="F388" s="71" t="n">
        <f aca="false">Calculos!$B$375</f>
        <v>5092306.7775</v>
      </c>
      <c r="G388" s="71" t="n">
        <f aca="false">Calculos!$B$375</f>
        <v>5092306.7775</v>
      </c>
    </row>
    <row r="389" customFormat="false" ht="12.8" hidden="false" customHeight="false" outlineLevel="0" collapsed="false">
      <c r="A389" s="0" t="s">
        <v>254</v>
      </c>
      <c r="B389" s="72"/>
      <c r="C389" s="71" t="n">
        <f aca="false">Calculos!$C$387-Calculos!$C$388</f>
        <v>-21236029.0815</v>
      </c>
      <c r="D389" s="71" t="n">
        <f aca="false">Calculos!$D$387-Calculos!$D$388</f>
        <v>-7372252.50946799</v>
      </c>
      <c r="E389" s="71" t="n">
        <f aca="false">Calculos!$E$387-Calculos!$E$388</f>
        <v>7337880.00695952</v>
      </c>
      <c r="F389" s="71" t="n">
        <f aca="false">Calculos!$F$387-Calculos!$F$388</f>
        <v>22932672.4255315</v>
      </c>
      <c r="G389" s="71" t="n">
        <f aca="false">Calculos!$G$387-Calculos!$G$388</f>
        <v>31612693.5113671</v>
      </c>
    </row>
    <row r="390" customFormat="false" ht="12.8" hidden="false" customHeight="false" outlineLevel="0" collapsed="false">
      <c r="A390" s="0" t="s">
        <v>255</v>
      </c>
      <c r="B390" s="72"/>
      <c r="C390" s="72" t="n">
        <f aca="false">0</f>
        <v>0</v>
      </c>
      <c r="D390" s="72" t="n">
        <f aca="false">Calculos!$C$393</f>
        <v>21236029.0815</v>
      </c>
      <c r="E390" s="72" t="n">
        <f aca="false">Calculos!$D$393</f>
        <v>28608281.590968</v>
      </c>
      <c r="F390" s="72" t="n">
        <f aca="false">Calculos!$E$393</f>
        <v>21270401.5840085</v>
      </c>
      <c r="G390" s="72" t="n">
        <f aca="false">Calculos!$F$393</f>
        <v>0</v>
      </c>
    </row>
    <row r="391" customFormat="false" ht="12.8" hidden="false" customHeight="false" outlineLevel="0" collapsed="false">
      <c r="A391" s="0" t="s">
        <v>256</v>
      </c>
      <c r="B391" s="72"/>
      <c r="C391" s="72" t="n">
        <f aca="false">MAX(0,Calculos!$C$389-Calculos!$C$390)</f>
        <v>0</v>
      </c>
      <c r="D391" s="72" t="n">
        <f aca="false">MAX(0,Calculos!$D$389-Calculos!$D$390)</f>
        <v>0</v>
      </c>
      <c r="E391" s="72" t="n">
        <f aca="false">MAX(0,Calculos!$E$389-Calculos!$E$390)</f>
        <v>0</v>
      </c>
      <c r="F391" s="72" t="n">
        <f aca="false">MAX(0,Calculos!$F$389-Calculos!$F$390)</f>
        <v>1662270.84152301</v>
      </c>
      <c r="G391" s="72" t="n">
        <f aca="false">MAX(0,Calculos!$G$389-Calculos!$G$390)</f>
        <v>31612693.5113671</v>
      </c>
    </row>
    <row r="392" customFormat="false" ht="12.8" hidden="false" customHeight="false" outlineLevel="0" collapsed="false">
      <c r="A392" s="0" t="s">
        <v>257</v>
      </c>
      <c r="B392" s="72"/>
      <c r="C392" s="72" t="n">
        <f aca="false">Calculos!$C$391*Inputs!$C$19</f>
        <v>0</v>
      </c>
      <c r="D392" s="72" t="n">
        <f aca="false">Calculos!$D$391*Inputs!$C$20</f>
        <v>0</v>
      </c>
      <c r="E392" s="72" t="n">
        <f aca="false">Calculos!$E$391*Inputs!$C$21</f>
        <v>0</v>
      </c>
      <c r="F392" s="72" t="n">
        <f aca="false">Calculos!$F$391*Inputs!$C$22</f>
        <v>415567.710380752</v>
      </c>
      <c r="G392" s="72" t="n">
        <f aca="false">Calculos!$G$391*Inputs!$C$23</f>
        <v>7903173.37784177</v>
      </c>
    </row>
    <row r="393" customFormat="false" ht="12.8" hidden="false" customHeight="false" outlineLevel="0" collapsed="false">
      <c r="A393" s="0" t="s">
        <v>258</v>
      </c>
      <c r="B393" s="72"/>
      <c r="C393" s="72" t="n">
        <f aca="false">MAX(0,Calculos!$C$390-Calculos!$C$389)</f>
        <v>21236029.0815</v>
      </c>
      <c r="D393" s="72" t="n">
        <f aca="false">MAX(0,Calculos!$D$390-Calculos!$D$389)</f>
        <v>28608281.590968</v>
      </c>
      <c r="E393" s="72" t="n">
        <f aca="false">MAX(0,Calculos!$E$390-Calculos!$E$389)</f>
        <v>21270401.5840085</v>
      </c>
      <c r="F393" s="72" t="n">
        <f aca="false">MAX(0,Calculos!$F$390-Calculos!$F$389)</f>
        <v>0</v>
      </c>
      <c r="G393" s="72" t="n">
        <f aca="false">MAX(0,Calculos!$G$390-Calculos!$G$389)</f>
        <v>0</v>
      </c>
    </row>
    <row r="394" customFormat="false" ht="12.8" hidden="false" customHeight="false" outlineLevel="0" collapsed="false">
      <c r="A394" s="0" t="s">
        <v>259</v>
      </c>
      <c r="B394" s="72"/>
      <c r="C394" s="71" t="n">
        <f aca="false">Calculos!$C$384*Inputs!$C$48/365+Calculos!$C$385*Inputs!$C$49/365-Calculos!$C$385*Inputs!$C$50/365</f>
        <v>12969063.4152329</v>
      </c>
      <c r="D394" s="71" t="n">
        <f aca="false">Calculos!$D$384*Inputs!$C$48/365+Calculos!$D$385*Inputs!$C$49/365-Calculos!$D$385*Inputs!$C$50/365</f>
        <v>18701389.4447658</v>
      </c>
      <c r="E394" s="71" t="n">
        <f aca="false">Calculos!$E$384*Inputs!$C$48/365+Calculos!$E$385*Inputs!$C$49/365-Calculos!$E$385*Inputs!$C$50/365</f>
        <v>24765982.878997</v>
      </c>
      <c r="F394" s="71" t="n">
        <f aca="false">Calculos!$F$384*Inputs!$C$48/365+Calculos!$F$385*Inputs!$C$49/365-Calculos!$F$385*Inputs!$C$50/365</f>
        <v>31177620.6687818</v>
      </c>
      <c r="G394" s="71" t="n">
        <f aca="false">Calculos!$G$384*Inputs!$C$48/365+Calculos!$G$385*Inputs!$C$49/365-Calculos!$G$385*Inputs!$C$50/365</f>
        <v>35032308.3151039</v>
      </c>
    </row>
    <row r="395" customFormat="false" ht="12.8" hidden="false" customHeight="false" outlineLevel="0" collapsed="false">
      <c r="A395" s="0" t="s">
        <v>260</v>
      </c>
      <c r="B395" s="72"/>
      <c r="C395" s="71" t="n">
        <f aca="false">Calculos!$C$394-Calculos!$C$394</f>
        <v>0</v>
      </c>
      <c r="D395" s="71" t="n">
        <f aca="false">Calculos!$D$394-Calculos!$C$394</f>
        <v>5732326.02953293</v>
      </c>
      <c r="E395" s="71" t="n">
        <f aca="false">Calculos!$E$394-Calculos!$D$394</f>
        <v>6064593.4342312</v>
      </c>
      <c r="F395" s="71" t="n">
        <f aca="false">Calculos!$F$394-Calculos!$E$394</f>
        <v>6411637.78978478</v>
      </c>
      <c r="G395" s="71" t="n">
        <f aca="false">Calculos!$G$394-Calculos!$F$394</f>
        <v>3854687.64632211</v>
      </c>
    </row>
    <row r="396" customFormat="false" ht="12.8" hidden="false" customHeight="false" outlineLevel="0" collapsed="false">
      <c r="A396" s="0" t="s">
        <v>261</v>
      </c>
      <c r="B396" s="72"/>
      <c r="C396" s="72" t="n">
        <f aca="false">0</f>
        <v>0</v>
      </c>
      <c r="D396" s="72" t="n">
        <f aca="false">0</f>
        <v>0</v>
      </c>
      <c r="E396" s="72" t="n">
        <f aca="false">0</f>
        <v>0</v>
      </c>
      <c r="F396" s="72" t="n">
        <f aca="false">0</f>
        <v>0</v>
      </c>
      <c r="G396" s="71" t="n">
        <f aca="false">Calculos!$B$376*(1-Inputs!$C$23)+Calculos!$G$394+Calculos!$B$377</f>
        <v>38461363.3566664</v>
      </c>
    </row>
    <row r="397" customFormat="false" ht="12.8" hidden="false" customHeight="false" outlineLevel="0" collapsed="false">
      <c r="A397" s="0" t="s">
        <v>262</v>
      </c>
      <c r="B397" s="71" t="n">
        <f aca="false">-(Calculos!$B$374+Calculos!$B$377+Calculos!$C$394)</f>
        <v>-42450037.3027329</v>
      </c>
      <c r="C397" s="71" t="n">
        <f aca="false">Calculos!$C$387-Calculos!$C$392-Calculos!$C$395+Calculos!$C$396</f>
        <v>-16143722.304</v>
      </c>
      <c r="D397" s="71" t="n">
        <f aca="false">Calculos!$D$387-Calculos!$D$392-Calculos!$D$395+Calculos!$D$396</f>
        <v>-8012271.76150092</v>
      </c>
      <c r="E397" s="71" t="n">
        <f aca="false">Calculos!$E$387-Calculos!$E$392-Calculos!$E$395+Calculos!$E$396</f>
        <v>6365593.35022832</v>
      </c>
      <c r="F397" s="71" t="n">
        <f aca="false">Calculos!$F$387-Calculos!$F$392-Calculos!$F$395+Calculos!$F$396</f>
        <v>21197773.7028659</v>
      </c>
      <c r="G397" s="71" t="n">
        <f aca="false">Calculos!$G$387-Calculos!$G$392-Calculos!$G$395+Calculos!$G$396</f>
        <v>63408502.6213696</v>
      </c>
    </row>
    <row r="398" customFormat="false" ht="12.8" hidden="false" customHeight="false" outlineLevel="0" collapsed="false">
      <c r="A398" s="0" t="s">
        <v>263</v>
      </c>
      <c r="B398" s="72" t="n">
        <v>1</v>
      </c>
      <c r="C398" s="72" t="n">
        <f aca="false">1/(1+Inputs!$C$7)^1</f>
        <v>0.869565217391304</v>
      </c>
      <c r="D398" s="72" t="n">
        <f aca="false">1/(1+Inputs!$C$7)^2</f>
        <v>0.756143667296787</v>
      </c>
      <c r="E398" s="72" t="n">
        <f aca="false">1/(1+Inputs!$C$7)^3</f>
        <v>0.657516232431988</v>
      </c>
      <c r="F398" s="72" t="n">
        <f aca="false">1/(1+Inputs!$C$7)^4</f>
        <v>0.571753245593033</v>
      </c>
      <c r="G398" s="72" t="n">
        <f aca="false">1/(1+Inputs!$C$7)^5</f>
        <v>0.49717673529829</v>
      </c>
    </row>
    <row r="399" customFormat="false" ht="12.8" hidden="false" customHeight="false" outlineLevel="0" collapsed="false">
      <c r="A399" s="0" t="s">
        <v>264</v>
      </c>
      <c r="B399" s="71" t="n">
        <f aca="false">Calculos!$B$397</f>
        <v>-42450037.3027329</v>
      </c>
      <c r="C399" s="71" t="n">
        <f aca="false">Calculos!$C$397*Calculos!$C$398</f>
        <v>-14038019.3947826</v>
      </c>
      <c r="D399" s="71" t="n">
        <f aca="false">Calculos!$D$397*Calculos!$D$398</f>
        <v>-6058428.55311979</v>
      </c>
      <c r="E399" s="71" t="n">
        <f aca="false">Calculos!$E$397*Calculos!$E$398</f>
        <v>4185480.95683624</v>
      </c>
      <c r="F399" s="71" t="n">
        <f aca="false">Calculos!$F$397*Calculos!$F$398</f>
        <v>12119895.9139603</v>
      </c>
      <c r="G399" s="71" t="n">
        <f aca="false">Calculos!$G$397*Calculos!$G$398</f>
        <v>31525232.3234456</v>
      </c>
    </row>
    <row r="400" customFormat="false" ht="12.8" hidden="false" customHeight="false" outlineLevel="0" collapsed="false">
      <c r="A400" s="0" t="s">
        <v>265</v>
      </c>
      <c r="B400" s="71" t="n">
        <f aca="false">Calculos!$B$397</f>
        <v>-42450037.3027329</v>
      </c>
      <c r="C400" s="71" t="n">
        <f aca="false">Calculos!$B$400+Calculos!$C$397</f>
        <v>-58593759.6067329</v>
      </c>
      <c r="D400" s="71" t="n">
        <f aca="false">Calculos!$C$400+Calculos!$D$397</f>
        <v>-66606031.3682338</v>
      </c>
      <c r="E400" s="71" t="n">
        <f aca="false">Calculos!$D$400+Calculos!$E$397</f>
        <v>-60240438.0180055</v>
      </c>
      <c r="F400" s="71" t="n">
        <f aca="false">Calculos!$E$400+Calculos!$F$397</f>
        <v>-39042664.3151395</v>
      </c>
      <c r="G400" s="71" t="n">
        <f aca="false">Calculos!$F$400+Calculos!$G$397</f>
        <v>24365838.3062301</v>
      </c>
    </row>
    <row r="401" customFormat="false" ht="12.8" hidden="false" customHeight="false" outlineLevel="0" collapsed="false">
      <c r="A401" s="0" t="s">
        <v>266</v>
      </c>
      <c r="B401" s="71" t="n">
        <f aca="false">Calculos!$B$399</f>
        <v>-42450037.3027329</v>
      </c>
      <c r="C401" s="71" t="n">
        <f aca="false">Calculos!$B$401+Calculos!$C$399</f>
        <v>-56488056.6975155</v>
      </c>
      <c r="D401" s="71" t="n">
        <f aca="false">Calculos!$C$401+Calculos!$D$399</f>
        <v>-62546485.2506353</v>
      </c>
      <c r="E401" s="71" t="n">
        <f aca="false">Calculos!$D$401+Calculos!$E$399</f>
        <v>-58361004.293799</v>
      </c>
      <c r="F401" s="71" t="n">
        <f aca="false">Calculos!$E$401+Calculos!$F$399</f>
        <v>-46241108.3798388</v>
      </c>
      <c r="G401" s="71" t="n">
        <f aca="false">Calculos!$F$401+Calculos!$G$399</f>
        <v>-14715876.0563932</v>
      </c>
    </row>
    <row r="403" customFormat="false" ht="12.8" hidden="false" customHeight="false" outlineLevel="0" collapsed="false">
      <c r="A403" s="0" t="s">
        <v>3</v>
      </c>
      <c r="B403" s="72" t="n">
        <f aca="false">-Calculos!$B$397</f>
        <v>42450037.3027329</v>
      </c>
    </row>
    <row r="404" customFormat="false" ht="12.8" hidden="false" customHeight="false" outlineLevel="0" collapsed="false">
      <c r="A404" s="0" t="s">
        <v>7</v>
      </c>
      <c r="B404" s="71" t="n">
        <f aca="false">SUM(Calculos!$B$399:$G$399)</f>
        <v>-14715876.0563932</v>
      </c>
    </row>
    <row r="405" customFormat="false" ht="12.8" hidden="false" customHeight="false" outlineLevel="0" collapsed="false">
      <c r="A405" s="0" t="s">
        <v>9</v>
      </c>
      <c r="B405" s="73" t="n">
        <f aca="false">IFERROR(IRR(Calculos!$B$397:$G$397),-1)</f>
        <v>0.0780585642885419</v>
      </c>
    </row>
    <row r="406" customFormat="false" ht="12.8" hidden="false" customHeight="false" outlineLevel="0" collapsed="false">
      <c r="A406" s="0" t="s">
        <v>10</v>
      </c>
      <c r="B406" s="0" t="n">
        <f aca="false">IFERROR(IF(Calculos!$C$401&gt;=0,0+(-Calculos!$B$401/Calculos!$C$399),IF(Calculos!$D$401&gt;=0,1+(-Calculos!$C$401/Calculos!$D$399),IF(Calculos!$E$401&gt;=0,2+(-Calculos!$D$401/Calculos!$E$399),IF(Calculos!$F$401&gt;=0,3+(-Calculos!$E$401/Calculos!$F$399),IF(Calculos!$G$401&gt;=0,4+(-Calculos!$F$401/Calculos!$G$399),NA()))))),99)</f>
        <v>99</v>
      </c>
    </row>
    <row r="407" customFormat="false" ht="12.8" hidden="false" customHeight="false" outlineLevel="0" collapsed="false">
      <c r="A407" s="0" t="s">
        <v>12</v>
      </c>
      <c r="B407" s="0" t="n">
        <f aca="false">(Calculos!$C$399+Calculos!$D$399+Calculos!$E$399+Calculos!$F$399+Calculos!$G$399)/(-Calculos!$B$397)</f>
        <v>0.653336557717329</v>
      </c>
    </row>
    <row r="408" customFormat="false" ht="12.8" hidden="false" customHeight="false" outlineLevel="0" collapsed="false">
      <c r="A408" s="0" t="s">
        <v>5</v>
      </c>
      <c r="B408" s="71" t="n">
        <f aca="false">-MIN(Calculos!$B$400:$G$400)</f>
        <v>66606031.3682338</v>
      </c>
    </row>
    <row r="409" customFormat="false" ht="12.8" hidden="false" customHeight="false" outlineLevel="0" collapsed="false">
      <c r="A409" s="0" t="s">
        <v>13</v>
      </c>
      <c r="B409" s="0" t="n">
        <f aca="false">IF((Calculos!$C$382-Calculos!$C$383)&gt;0,Calculos!$C$386/(Calculos!$C$382-Calculos!$C$383)/12,NA())</f>
        <v>3658.90240522977</v>
      </c>
    </row>
    <row r="412" customFormat="false" ht="12.8" hidden="false" customHeight="false" outlineLevel="0" collapsed="false">
      <c r="A412" s="69" t="s">
        <v>302</v>
      </c>
      <c r="B412" s="69"/>
      <c r="C412" s="69"/>
      <c r="D412" s="69"/>
      <c r="E412" s="69"/>
      <c r="F412" s="69"/>
      <c r="G412" s="69"/>
    </row>
    <row r="413" customFormat="false" ht="12.8" hidden="false" customHeight="false" outlineLevel="0" collapsed="false">
      <c r="A413" s="0" t="s">
        <v>248</v>
      </c>
      <c r="B413" s="0" t="n">
        <f aca="false">1</f>
        <v>1</v>
      </c>
    </row>
    <row r="414" customFormat="false" ht="12.8" hidden="false" customHeight="false" outlineLevel="0" collapsed="false">
      <c r="A414" s="0" t="s">
        <v>247</v>
      </c>
      <c r="B414" s="0" t="n">
        <f aca="false">1</f>
        <v>1</v>
      </c>
    </row>
    <row r="415" customFormat="false" ht="12.8" hidden="false" customHeight="false" outlineLevel="0" collapsed="false">
      <c r="A415" s="0" t="s">
        <v>280</v>
      </c>
      <c r="B415" s="0" t="n">
        <f aca="false">1</f>
        <v>1</v>
      </c>
    </row>
    <row r="416" customFormat="false" ht="12.8" hidden="false" customHeight="false" outlineLevel="0" collapsed="false">
      <c r="A416" s="0" t="s">
        <v>281</v>
      </c>
      <c r="B416" s="0" t="n">
        <f aca="false">1</f>
        <v>1</v>
      </c>
    </row>
    <row r="417" customFormat="false" ht="12.8" hidden="false" customHeight="false" outlineLevel="0" collapsed="false">
      <c r="A417" s="0" t="s">
        <v>282</v>
      </c>
      <c r="B417" s="0" t="n">
        <f aca="false">1</f>
        <v>1</v>
      </c>
    </row>
    <row r="419" customFormat="false" ht="12.8" hidden="false" customHeight="false" outlineLevel="0" collapsed="false">
      <c r="A419" s="0" t="s">
        <v>283</v>
      </c>
      <c r="B419" s="71" t="n">
        <f aca="false">Inputs!$C$52+Inputs!$C$53+Inputs!$C$54+Inputs!$C$55+Inputs!$C$56+Inputs!$C$57+Inputs!$C$58+Inputs!$C$59</f>
        <v>8817795</v>
      </c>
    </row>
    <row r="420" customFormat="false" ht="12.8" hidden="false" customHeight="false" outlineLevel="0" collapsed="false">
      <c r="A420" s="0" t="s">
        <v>284</v>
      </c>
      <c r="B420" s="71" t="n">
        <f aca="false">Calculos!$B$419*Inputs!$C$60</f>
        <v>1322669.25</v>
      </c>
    </row>
    <row r="421" customFormat="false" ht="12.8" hidden="false" customHeight="false" outlineLevel="0" collapsed="false">
      <c r="A421" s="0" t="s">
        <v>285</v>
      </c>
      <c r="B421" s="72" t="n">
        <f aca="false">IF(Inputs!$C$40&gt;0,Inputs!$C$40,Inputs!$C$38*Inputs!$C$39)</f>
        <v>759720</v>
      </c>
    </row>
    <row r="422" customFormat="false" ht="12.8" hidden="false" customHeight="false" outlineLevel="0" collapsed="false">
      <c r="A422" s="0" t="s">
        <v>286</v>
      </c>
      <c r="B422" s="71" t="n">
        <f aca="false">((Inputs!$C$25*Inputs!$C$34+Inputs!$C$26*Inputs!$C$35+Inputs!$C$27*Inputs!$C$36+Inputs!$C$28)*(1+Inputs!$C$32)+Inputs!$C$29+Inputs!$C$30+Inputs!$C$31)</f>
        <v>2652.96256</v>
      </c>
    </row>
    <row r="423" customFormat="false" ht="12.8" hidden="false" customHeight="false" outlineLevel="0" collapsed="false">
      <c r="A423" s="0" t="s">
        <v>287</v>
      </c>
      <c r="B423" s="71" t="n">
        <f aca="false">(Calculos!$B$421+Inputs!$C$41*Inputs!$C$42+Inputs!$C$43+Inputs!$C$44+Inputs!$C$45+Inputs!$C$46+Inputs!$C$47)</f>
        <v>4123720</v>
      </c>
    </row>
    <row r="424" customFormat="false" ht="12.8" hidden="false" customHeight="false" outlineLevel="0" collapsed="false">
      <c r="A424" s="0" t="s">
        <v>288</v>
      </c>
      <c r="B424" s="71" t="n">
        <f aca="false">(Calculos!$B$419+Calculos!$B$420+Inputs!$C$61)*(1+Inputs!$C$64)*Calculos!$B$417</f>
        <v>25461533.8875</v>
      </c>
    </row>
    <row r="425" customFormat="false" ht="12.8" hidden="false" customHeight="false" outlineLevel="0" collapsed="false">
      <c r="A425" s="0" t="s">
        <v>289</v>
      </c>
      <c r="B425" s="71" t="n">
        <f aca="false">Calculos!$B$424+(Inputs!$C$62+Inputs!$C$63)*Calculos!$B$417</f>
        <v>27961533.8875</v>
      </c>
    </row>
    <row r="426" customFormat="false" ht="12.8" hidden="false" customHeight="false" outlineLevel="0" collapsed="false">
      <c r="A426" s="0" t="s">
        <v>290</v>
      </c>
      <c r="B426" s="71" t="n">
        <f aca="false">Calculos!$B$424/Inputs!$C$66</f>
        <v>5092306.7775</v>
      </c>
    </row>
    <row r="427" customFormat="false" ht="12.8" hidden="false" customHeight="false" outlineLevel="0" collapsed="false">
      <c r="A427" s="0" t="s">
        <v>291</v>
      </c>
      <c r="B427" s="71" t="n">
        <f aca="false">Calculos!$B$424*Inputs!$C$67</f>
        <v>2546153.38875</v>
      </c>
    </row>
    <row r="428" customFormat="false" ht="12.8" hidden="false" customHeight="false" outlineLevel="0" collapsed="false">
      <c r="A428" s="0" t="s">
        <v>292</v>
      </c>
      <c r="B428" s="72" t="n">
        <f aca="false">Calculos!$B$421*Inputs!$C$65</f>
        <v>1519440</v>
      </c>
    </row>
    <row r="430" customFormat="false" ht="18.45" hidden="false" customHeight="true" outlineLevel="0" collapsed="false">
      <c r="A430" s="13" t="s">
        <v>226</v>
      </c>
      <c r="B430" s="13" t="s">
        <v>241</v>
      </c>
      <c r="C430" s="13" t="s">
        <v>242</v>
      </c>
      <c r="D430" s="13" t="s">
        <v>243</v>
      </c>
      <c r="E430" s="13" t="s">
        <v>244</v>
      </c>
      <c r="F430" s="13" t="s">
        <v>245</v>
      </c>
      <c r="G430" s="13" t="s">
        <v>246</v>
      </c>
    </row>
    <row r="431" customFormat="false" ht="12.8" hidden="false" customHeight="false" outlineLevel="0" collapsed="false">
      <c r="A431" s="0" t="s">
        <v>247</v>
      </c>
      <c r="C431" s="0" t="n">
        <f aca="false">Inputs!$C$13*Calculos!$B$414</f>
        <v>30000</v>
      </c>
      <c r="D431" s="0" t="n">
        <f aca="false">Inputs!$C$14*Calculos!$B$414</f>
        <v>42000</v>
      </c>
      <c r="E431" s="0" t="n">
        <f aca="false">Inputs!$C$15*Calculos!$B$414</f>
        <v>54000</v>
      </c>
      <c r="F431" s="0" t="n">
        <f aca="false">Inputs!$C$16*Calculos!$B$414</f>
        <v>66000</v>
      </c>
      <c r="G431" s="0" t="n">
        <f aca="false">Inputs!$C$17*Calculos!$B$414</f>
        <v>72000</v>
      </c>
    </row>
    <row r="432" customFormat="false" ht="12.8" hidden="false" customHeight="false" outlineLevel="0" collapsed="false">
      <c r="A432" s="0" t="s">
        <v>293</v>
      </c>
      <c r="C432" s="0" t="n">
        <f aca="false">(1+Inputs!$C$8)^1</f>
        <v>1.03</v>
      </c>
      <c r="D432" s="0" t="n">
        <f aca="false">(1+Inputs!$C$8)^2</f>
        <v>1.0609</v>
      </c>
      <c r="E432" s="0" t="n">
        <f aca="false">(1+Inputs!$C$8)^3</f>
        <v>1.092727</v>
      </c>
      <c r="F432" s="0" t="n">
        <f aca="false">(1+Inputs!$C$8)^4</f>
        <v>1.12550881</v>
      </c>
      <c r="G432" s="0" t="n">
        <f aca="false">(1+Inputs!$C$8)^5</f>
        <v>1.1592740743</v>
      </c>
    </row>
    <row r="433" customFormat="false" ht="12.8" hidden="false" customHeight="false" outlineLevel="0" collapsed="false">
      <c r="A433" s="0" t="s">
        <v>248</v>
      </c>
      <c r="B433" s="72"/>
      <c r="C433" s="71" t="n">
        <f aca="false">Inputs!$C$12*Calculos!$B$413*Calculos!$C$432</f>
        <v>4326</v>
      </c>
      <c r="D433" s="71" t="n">
        <f aca="false">Inputs!$C$12*Calculos!$B$413*Calculos!$D$432</f>
        <v>4455.78</v>
      </c>
      <c r="E433" s="71" t="n">
        <f aca="false">Inputs!$C$12*Calculos!$B$413*Calculos!$E$432</f>
        <v>4589.4534</v>
      </c>
      <c r="F433" s="71" t="n">
        <f aca="false">Inputs!$C$12*Calculos!$B$413*Calculos!$F$432</f>
        <v>4727.137002</v>
      </c>
      <c r="G433" s="71" t="n">
        <f aca="false">Inputs!$C$12*Calculos!$B$413*Calculos!$G$432</f>
        <v>4868.95111206</v>
      </c>
    </row>
    <row r="434" customFormat="false" ht="12.8" hidden="false" customHeight="false" outlineLevel="0" collapsed="false">
      <c r="A434" s="0" t="s">
        <v>294</v>
      </c>
      <c r="B434" s="72"/>
      <c r="C434" s="71" t="n">
        <f aca="false">Calculos!$B$422*Calculos!$B$415*Calculos!$C$432</f>
        <v>2732.5514368</v>
      </c>
      <c r="D434" s="71" t="n">
        <f aca="false">Calculos!$B$422*Calculos!$B$415*Calculos!$D$432</f>
        <v>2814.527979904</v>
      </c>
      <c r="E434" s="71" t="n">
        <f aca="false">Calculos!$B$422*Calculos!$B$415*Calculos!$E$432</f>
        <v>2898.96381930112</v>
      </c>
      <c r="F434" s="71" t="n">
        <f aca="false">Calculos!$B$422*Calculos!$B$415*Calculos!$F$432</f>
        <v>2985.93273388015</v>
      </c>
      <c r="G434" s="71" t="n">
        <f aca="false">Calculos!$B$422*Calculos!$B$415*Calculos!$G$432</f>
        <v>3075.51071589656</v>
      </c>
    </row>
    <row r="435" customFormat="false" ht="12.8" hidden="false" customHeight="false" outlineLevel="0" collapsed="false">
      <c r="A435" s="0" t="s">
        <v>249</v>
      </c>
      <c r="B435" s="72"/>
      <c r="C435" s="71" t="n">
        <f aca="false">Calculos!$C$431*Calculos!$C$433</f>
        <v>129780000</v>
      </c>
      <c r="D435" s="71" t="n">
        <f aca="false">Calculos!$D$431*Calculos!$D$433</f>
        <v>187142760</v>
      </c>
      <c r="E435" s="71" t="n">
        <f aca="false">Calculos!$E$431*Calculos!$E$433</f>
        <v>247830483.6</v>
      </c>
      <c r="F435" s="71" t="n">
        <f aca="false">Calculos!$F$431*Calculos!$F$433</f>
        <v>311991042.132</v>
      </c>
      <c r="G435" s="71" t="n">
        <f aca="false">Calculos!$G$431*Calculos!$G$433</f>
        <v>350564480.06832</v>
      </c>
    </row>
    <row r="436" customFormat="false" ht="12.8" hidden="false" customHeight="false" outlineLevel="0" collapsed="false">
      <c r="A436" s="0" t="s">
        <v>250</v>
      </c>
      <c r="B436" s="72"/>
      <c r="C436" s="71" t="n">
        <f aca="false">Calculos!$C$431*Calculos!$C$434</f>
        <v>81976543.104</v>
      </c>
      <c r="D436" s="71" t="n">
        <f aca="false">Calculos!$D$431*Calculos!$D$434</f>
        <v>118210175.155968</v>
      </c>
      <c r="E436" s="71" t="n">
        <f aca="false">Calculos!$E$431*Calculos!$E$434</f>
        <v>156544046.242261</v>
      </c>
      <c r="F436" s="71" t="n">
        <f aca="false">Calculos!$F$431*Calculos!$F$434</f>
        <v>197071560.43609</v>
      </c>
      <c r="G436" s="71" t="n">
        <f aca="false">Calculos!$G$431*Calculos!$G$434</f>
        <v>221436771.544552</v>
      </c>
    </row>
    <row r="437" customFormat="false" ht="12.8" hidden="false" customHeight="false" outlineLevel="0" collapsed="false">
      <c r="A437" s="0" t="s">
        <v>251</v>
      </c>
      <c r="B437" s="72"/>
      <c r="C437" s="71" t="n">
        <f aca="false">Calculos!$B$423*12*Calculos!$B$416*Calculos!$C$432</f>
        <v>50969179.2</v>
      </c>
      <c r="D437" s="71" t="n">
        <f aca="false">Calculos!$B$423*12*Calculos!$B$416*Calculos!$D$432</f>
        <v>52498254.576</v>
      </c>
      <c r="E437" s="71" t="n">
        <f aca="false">Calculos!$B$423*12*Calculos!$B$416*Calculos!$E$432</f>
        <v>54073202.21328</v>
      </c>
      <c r="F437" s="71" t="n">
        <f aca="false">Calculos!$B$423*12*Calculos!$B$416*Calculos!$F$432</f>
        <v>55695398.2796784</v>
      </c>
      <c r="G437" s="71" t="n">
        <f aca="false">Calculos!$B$423*12*Calculos!$B$416*Calculos!$G$432</f>
        <v>57366260.2280688</v>
      </c>
    </row>
    <row r="438" customFormat="false" ht="12.8" hidden="false" customHeight="false" outlineLevel="0" collapsed="false">
      <c r="A438" s="0" t="s">
        <v>252</v>
      </c>
      <c r="B438" s="72"/>
      <c r="C438" s="71" t="n">
        <f aca="false">Calculos!$C$435-Calculos!$C$436-Calculos!$C$437</f>
        <v>-3165722.30400001</v>
      </c>
      <c r="D438" s="71" t="n">
        <f aca="false">Calculos!$D$435-Calculos!$D$436-Calculos!$D$437</f>
        <v>16434330.268032</v>
      </c>
      <c r="E438" s="71" t="n">
        <f aca="false">Calculos!$E$435-Calculos!$E$436-Calculos!$E$437</f>
        <v>37213235.1444595</v>
      </c>
      <c r="F438" s="71" t="n">
        <f aca="false">Calculos!$F$435-Calculos!$F$436-Calculos!$F$437</f>
        <v>59224083.4162315</v>
      </c>
      <c r="G438" s="71" t="n">
        <f aca="false">Calculos!$G$435-Calculos!$G$436-Calculos!$G$437</f>
        <v>71761448.295699</v>
      </c>
    </row>
    <row r="439" customFormat="false" ht="12.8" hidden="false" customHeight="false" outlineLevel="0" collapsed="false">
      <c r="A439" s="0" t="s">
        <v>253</v>
      </c>
      <c r="B439" s="72"/>
      <c r="C439" s="71" t="n">
        <f aca="false">Calculos!$B$426</f>
        <v>5092306.7775</v>
      </c>
      <c r="D439" s="71" t="n">
        <f aca="false">Calculos!$B$426</f>
        <v>5092306.7775</v>
      </c>
      <c r="E439" s="71" t="n">
        <f aca="false">Calculos!$B$426</f>
        <v>5092306.7775</v>
      </c>
      <c r="F439" s="71" t="n">
        <f aca="false">Calculos!$B$426</f>
        <v>5092306.7775</v>
      </c>
      <c r="G439" s="71" t="n">
        <f aca="false">Calculos!$B$426</f>
        <v>5092306.7775</v>
      </c>
    </row>
    <row r="440" customFormat="false" ht="12.8" hidden="false" customHeight="false" outlineLevel="0" collapsed="false">
      <c r="A440" s="0" t="s">
        <v>254</v>
      </c>
      <c r="B440" s="72"/>
      <c r="C440" s="71" t="n">
        <f aca="false">Calculos!$C$438-Calculos!$C$439</f>
        <v>-8258029.08150001</v>
      </c>
      <c r="D440" s="71" t="n">
        <f aca="false">Calculos!$D$438-Calculos!$D$439</f>
        <v>11342023.490532</v>
      </c>
      <c r="E440" s="71" t="n">
        <f aca="false">Calculos!$E$438-Calculos!$E$439</f>
        <v>32120928.3669595</v>
      </c>
      <c r="F440" s="71" t="n">
        <f aca="false">Calculos!$F$438-Calculos!$F$439</f>
        <v>54131776.6387315</v>
      </c>
      <c r="G440" s="71" t="n">
        <f aca="false">Calculos!$G$438-Calculos!$G$439</f>
        <v>66669141.518199</v>
      </c>
    </row>
    <row r="441" customFormat="false" ht="12.8" hidden="false" customHeight="false" outlineLevel="0" collapsed="false">
      <c r="A441" s="0" t="s">
        <v>255</v>
      </c>
      <c r="B441" s="72"/>
      <c r="C441" s="72" t="n">
        <f aca="false">0</f>
        <v>0</v>
      </c>
      <c r="D441" s="72" t="n">
        <f aca="false">Calculos!$C$444</f>
        <v>8258029.08150001</v>
      </c>
      <c r="E441" s="72" t="n">
        <f aca="false">Calculos!$D$444</f>
        <v>0</v>
      </c>
      <c r="F441" s="72" t="n">
        <f aca="false">Calculos!$E$444</f>
        <v>0</v>
      </c>
      <c r="G441" s="72" t="n">
        <f aca="false">Calculos!$F$444</f>
        <v>0</v>
      </c>
    </row>
    <row r="442" customFormat="false" ht="12.8" hidden="false" customHeight="false" outlineLevel="0" collapsed="false">
      <c r="A442" s="0" t="s">
        <v>256</v>
      </c>
      <c r="B442" s="72"/>
      <c r="C442" s="72" t="n">
        <f aca="false">MAX(0,Calculos!$C$440-Calculos!$C$441)</f>
        <v>0</v>
      </c>
      <c r="D442" s="72" t="n">
        <f aca="false">MAX(0,Calculos!$D$440-Calculos!$D$441)</f>
        <v>3083994.409032</v>
      </c>
      <c r="E442" s="72" t="n">
        <f aca="false">MAX(0,Calculos!$E$440-Calculos!$E$441)</f>
        <v>32120928.3669595</v>
      </c>
      <c r="F442" s="72" t="n">
        <f aca="false">MAX(0,Calculos!$F$440-Calculos!$F$441)</f>
        <v>54131776.6387315</v>
      </c>
      <c r="G442" s="72" t="n">
        <f aca="false">MAX(0,Calculos!$G$440-Calculos!$G$441)</f>
        <v>66669141.518199</v>
      </c>
    </row>
    <row r="443" customFormat="false" ht="12.8" hidden="false" customHeight="false" outlineLevel="0" collapsed="false">
      <c r="A443" s="0" t="s">
        <v>257</v>
      </c>
      <c r="B443" s="72"/>
      <c r="C443" s="72" t="n">
        <f aca="false">Calculos!$C$442*Inputs!$C$19</f>
        <v>0</v>
      </c>
      <c r="D443" s="72" t="n">
        <f aca="false">Calculos!$D$442*Inputs!$C$20</f>
        <v>462599.1613548</v>
      </c>
      <c r="E443" s="72" t="n">
        <f aca="false">Calculos!$E$442*Inputs!$C$21</f>
        <v>8030232.09173989</v>
      </c>
      <c r="F443" s="72" t="n">
        <f aca="false">Calculos!$F$442*Inputs!$C$22</f>
        <v>13532944.1596829</v>
      </c>
      <c r="G443" s="72" t="n">
        <f aca="false">Calculos!$G$442*Inputs!$C$23</f>
        <v>16667285.3795498</v>
      </c>
    </row>
    <row r="444" customFormat="false" ht="12.8" hidden="false" customHeight="false" outlineLevel="0" collapsed="false">
      <c r="A444" s="0" t="s">
        <v>258</v>
      </c>
      <c r="B444" s="72"/>
      <c r="C444" s="72" t="n">
        <f aca="false">MAX(0,Calculos!$C$441-Calculos!$C$440)</f>
        <v>8258029.08150001</v>
      </c>
      <c r="D444" s="72" t="n">
        <f aca="false">MAX(0,Calculos!$D$441-Calculos!$D$440)</f>
        <v>0</v>
      </c>
      <c r="E444" s="72" t="n">
        <f aca="false">MAX(0,Calculos!$E$441-Calculos!$E$440)</f>
        <v>0</v>
      </c>
      <c r="F444" s="72" t="n">
        <f aca="false">MAX(0,Calculos!$F$441-Calculos!$F$440)</f>
        <v>0</v>
      </c>
      <c r="G444" s="72" t="n">
        <f aca="false">MAX(0,Calculos!$G$441-Calculos!$G$440)</f>
        <v>0</v>
      </c>
    </row>
    <row r="445" customFormat="false" ht="12.8" hidden="false" customHeight="false" outlineLevel="0" collapsed="false">
      <c r="A445" s="0" t="s">
        <v>259</v>
      </c>
      <c r="B445" s="72"/>
      <c r="C445" s="71" t="n">
        <f aca="false">Calculos!$C$435*Inputs!$C$48/365+Calculos!$C$436*Inputs!$C$49/365-Calculos!$C$436*Inputs!$C$50/365</f>
        <v>14035748.3467397</v>
      </c>
      <c r="D445" s="71" t="n">
        <f aca="false">Calculos!$D$435*Inputs!$C$48/365+Calculos!$D$436*Inputs!$C$49/365-Calculos!$D$436*Inputs!$C$50/365</f>
        <v>20239549.1159987</v>
      </c>
      <c r="E445" s="71" t="n">
        <f aca="false">Calculos!$E$435*Inputs!$C$48/365+Calculos!$E$436*Inputs!$C$49/365-Calculos!$E$436*Inputs!$C$50/365</f>
        <v>26802945.7579011</v>
      </c>
      <c r="F445" s="71" t="n">
        <f aca="false">Calculos!$F$435*Inputs!$C$48/365+Calculos!$F$436*Inputs!$C$49/365-Calculos!$F$436*Inputs!$C$50/365</f>
        <v>33741930.6041133</v>
      </c>
      <c r="G445" s="71" t="n">
        <f aca="false">Calculos!$G$435*Inputs!$C$48/365+Calculos!$G$436*Inputs!$C$49/365-Calculos!$G$436*Inputs!$C$50/365</f>
        <v>37913660.2060764</v>
      </c>
    </row>
    <row r="446" customFormat="false" ht="12.8" hidden="false" customHeight="false" outlineLevel="0" collapsed="false">
      <c r="A446" s="0" t="s">
        <v>260</v>
      </c>
      <c r="B446" s="72"/>
      <c r="C446" s="71" t="n">
        <f aca="false">Calculos!$C$445-Calculos!$C$445</f>
        <v>0</v>
      </c>
      <c r="D446" s="71" t="n">
        <f aca="false">Calculos!$D$445-Calculos!$C$445</f>
        <v>6203800.76925896</v>
      </c>
      <c r="E446" s="71" t="n">
        <f aca="false">Calculos!$E$445-Calculos!$D$445</f>
        <v>6563396.64190243</v>
      </c>
      <c r="F446" s="71" t="n">
        <f aca="false">Calculos!$F$445-Calculos!$E$445</f>
        <v>6938984.84621218</v>
      </c>
      <c r="G446" s="71" t="n">
        <f aca="false">Calculos!$G$445-Calculos!$F$445</f>
        <v>4171729.6019631</v>
      </c>
    </row>
    <row r="447" customFormat="false" ht="12.8" hidden="false" customHeight="false" outlineLevel="0" collapsed="false">
      <c r="A447" s="0" t="s">
        <v>261</v>
      </c>
      <c r="B447" s="72"/>
      <c r="C447" s="72" t="n">
        <f aca="false">0</f>
        <v>0</v>
      </c>
      <c r="D447" s="72" t="n">
        <f aca="false">0</f>
        <v>0</v>
      </c>
      <c r="E447" s="72" t="n">
        <f aca="false">0</f>
        <v>0</v>
      </c>
      <c r="F447" s="72" t="n">
        <f aca="false">0</f>
        <v>0</v>
      </c>
      <c r="G447" s="71" t="n">
        <f aca="false">Calculos!$B$427*(1-Inputs!$C$23)+Calculos!$G$445+Calculos!$B$428</f>
        <v>41342715.2476389</v>
      </c>
    </row>
    <row r="448" customFormat="false" ht="12.8" hidden="false" customHeight="false" outlineLevel="0" collapsed="false">
      <c r="A448" s="0" t="s">
        <v>262</v>
      </c>
      <c r="B448" s="71" t="n">
        <f aca="false">-(Calculos!$B$425+Calculos!$B$428+Calculos!$C$445)</f>
        <v>-43516722.2342397</v>
      </c>
      <c r="C448" s="71" t="n">
        <f aca="false">Calculos!$C$438-Calculos!$C$443-Calculos!$C$446+Calculos!$C$447</f>
        <v>-3165722.30400001</v>
      </c>
      <c r="D448" s="71" t="n">
        <f aca="false">Calculos!$D$438-Calculos!$D$443-Calculos!$D$446+Calculos!$D$447</f>
        <v>9767930.33741825</v>
      </c>
      <c r="E448" s="71" t="n">
        <f aca="false">Calculos!$E$438-Calculos!$E$443-Calculos!$E$446+Calculos!$E$447</f>
        <v>22619606.4108172</v>
      </c>
      <c r="F448" s="71" t="n">
        <f aca="false">Calculos!$F$438-Calculos!$F$443-Calculos!$F$446+Calculos!$F$447</f>
        <v>38752154.4103364</v>
      </c>
      <c r="G448" s="71" t="n">
        <f aca="false">Calculos!$G$438-Calculos!$G$443-Calculos!$G$446+Calculos!$G$447</f>
        <v>92265148.5618251</v>
      </c>
    </row>
    <row r="449" customFormat="false" ht="12.8" hidden="false" customHeight="false" outlineLevel="0" collapsed="false">
      <c r="A449" s="0" t="s">
        <v>263</v>
      </c>
      <c r="B449" s="72" t="n">
        <v>1</v>
      </c>
      <c r="C449" s="72" t="n">
        <f aca="false">1/(1+Inputs!$C$7)^1</f>
        <v>0.869565217391304</v>
      </c>
      <c r="D449" s="72" t="n">
        <f aca="false">1/(1+Inputs!$C$7)^2</f>
        <v>0.756143667296787</v>
      </c>
      <c r="E449" s="72" t="n">
        <f aca="false">1/(1+Inputs!$C$7)^3</f>
        <v>0.657516232431988</v>
      </c>
      <c r="F449" s="72" t="n">
        <f aca="false">1/(1+Inputs!$C$7)^4</f>
        <v>0.571753245593033</v>
      </c>
      <c r="G449" s="72" t="n">
        <f aca="false">1/(1+Inputs!$C$7)^5</f>
        <v>0.49717673529829</v>
      </c>
    </row>
    <row r="450" customFormat="false" ht="12.8" hidden="false" customHeight="false" outlineLevel="0" collapsed="false">
      <c r="A450" s="0" t="s">
        <v>264</v>
      </c>
      <c r="B450" s="71" t="n">
        <f aca="false">Calculos!$B$448</f>
        <v>-43516722.2342397</v>
      </c>
      <c r="C450" s="71" t="n">
        <f aca="false">Calculos!$C$448*Calculos!$C$449</f>
        <v>-2752802.00347827</v>
      </c>
      <c r="D450" s="71" t="n">
        <f aca="false">Calculos!$D$448*Calculos!$D$449</f>
        <v>7385958.66723497</v>
      </c>
      <c r="E450" s="71" t="n">
        <f aca="false">Calculos!$E$448*Calculos!$E$449</f>
        <v>14872758.386335</v>
      </c>
      <c r="F450" s="71" t="n">
        <f aca="false">Calculos!$F$448*Calculos!$F$449</f>
        <v>22156670.0578322</v>
      </c>
      <c r="G450" s="71" t="n">
        <f aca="false">Calculos!$G$448*Calculos!$G$449</f>
        <v>45872085.3437799</v>
      </c>
    </row>
    <row r="451" customFormat="false" ht="12.8" hidden="false" customHeight="false" outlineLevel="0" collapsed="false">
      <c r="A451" s="0" t="s">
        <v>265</v>
      </c>
      <c r="B451" s="71" t="n">
        <f aca="false">Calculos!$B$448</f>
        <v>-43516722.2342397</v>
      </c>
      <c r="C451" s="71" t="n">
        <f aca="false">Calculos!$B$451+Calculos!$C$448</f>
        <v>-46682444.5382397</v>
      </c>
      <c r="D451" s="71" t="n">
        <f aca="false">Calculos!$C$451+Calculos!$D$448</f>
        <v>-36914514.2008215</v>
      </c>
      <c r="E451" s="71" t="n">
        <f aca="false">Calculos!$D$451+Calculos!$E$448</f>
        <v>-14294907.7900043</v>
      </c>
      <c r="F451" s="71" t="n">
        <f aca="false">Calculos!$E$451+Calculos!$F$448</f>
        <v>24457246.6203321</v>
      </c>
      <c r="G451" s="71" t="n">
        <f aca="false">Calculos!$F$451+Calculos!$G$448</f>
        <v>116722395.182157</v>
      </c>
    </row>
    <row r="452" customFormat="false" ht="12.8" hidden="false" customHeight="false" outlineLevel="0" collapsed="false">
      <c r="A452" s="0" t="s">
        <v>266</v>
      </c>
      <c r="B452" s="71" t="n">
        <f aca="false">Calculos!$B$450</f>
        <v>-43516722.2342397</v>
      </c>
      <c r="C452" s="71" t="n">
        <f aca="false">Calculos!$B$452+Calculos!$C$450</f>
        <v>-46269524.237718</v>
      </c>
      <c r="D452" s="71" t="n">
        <f aca="false">Calculos!$C$452+Calculos!$D$450</f>
        <v>-38883565.570483</v>
      </c>
      <c r="E452" s="71" t="n">
        <f aca="false">Calculos!$D$452+Calculos!$E$450</f>
        <v>-24010807.184148</v>
      </c>
      <c r="F452" s="71" t="n">
        <f aca="false">Calculos!$E$452+Calculos!$F$450</f>
        <v>-1854137.1263158</v>
      </c>
      <c r="G452" s="71" t="n">
        <f aca="false">Calculos!$F$452+Calculos!$G$450</f>
        <v>44017948.2174641</v>
      </c>
    </row>
    <row r="454" customFormat="false" ht="12.8" hidden="false" customHeight="false" outlineLevel="0" collapsed="false">
      <c r="A454" s="0" t="s">
        <v>3</v>
      </c>
      <c r="B454" s="72" t="n">
        <f aca="false">-Calculos!$B$448</f>
        <v>43516722.2342397</v>
      </c>
    </row>
    <row r="455" customFormat="false" ht="12.8" hidden="false" customHeight="false" outlineLevel="0" collapsed="false">
      <c r="A455" s="0" t="s">
        <v>7</v>
      </c>
      <c r="B455" s="71" t="n">
        <f aca="false">SUM(Calculos!$B$450:$G$450)</f>
        <v>44017948.2174641</v>
      </c>
    </row>
    <row r="456" customFormat="false" ht="12.8" hidden="false" customHeight="false" outlineLevel="0" collapsed="false">
      <c r="A456" s="0" t="s">
        <v>9</v>
      </c>
      <c r="B456" s="73" t="n">
        <f aca="false">IFERROR(IRR(Calculos!$B$448:$G$448),-1)</f>
        <v>0.356896565571158</v>
      </c>
    </row>
    <row r="457" customFormat="false" ht="12.8" hidden="false" customHeight="false" outlineLevel="0" collapsed="false">
      <c r="A457" s="0" t="s">
        <v>10</v>
      </c>
      <c r="B457" s="0" t="n">
        <f aca="false">IFERROR(IF(Calculos!$C$452&gt;=0,0+(-Calculos!$B$452/Calculos!$C$450),IF(Calculos!$D$452&gt;=0,1+(-Calculos!$C$452/Calculos!$D$450),IF(Calculos!$E$452&gt;=0,2+(-Calculos!$D$452/Calculos!$E$450),IF(Calculos!$F$452&gt;=0,3+(-Calculos!$E$452/Calculos!$F$450),IF(Calculos!$G$452&gt;=0,4+(-Calculos!$F$452/Calculos!$G$450),NA()))))),99)</f>
        <v>4.04041972612364</v>
      </c>
    </row>
    <row r="458" customFormat="false" ht="12.8" hidden="false" customHeight="false" outlineLevel="0" collapsed="false">
      <c r="A458" s="0" t="s">
        <v>12</v>
      </c>
      <c r="B458" s="0" t="n">
        <f aca="false">(Calculos!$C$450+Calculos!$D$450+Calculos!$E$450+Calculos!$F$450+Calculos!$G$450)/(-Calculos!$B$448)</f>
        <v>2.01151800865254</v>
      </c>
    </row>
    <row r="459" customFormat="false" ht="12.8" hidden="false" customHeight="false" outlineLevel="0" collapsed="false">
      <c r="A459" s="0" t="s">
        <v>5</v>
      </c>
      <c r="B459" s="71" t="n">
        <f aca="false">-MIN(Calculos!$B$451:$G$451)</f>
        <v>46682444.5382397</v>
      </c>
    </row>
    <row r="460" customFormat="false" ht="12.8" hidden="false" customHeight="false" outlineLevel="0" collapsed="false">
      <c r="A460" s="0" t="s">
        <v>13</v>
      </c>
      <c r="B460" s="0" t="n">
        <f aca="false">IF((Calculos!$C$433-Calculos!$C$434)&gt;0,Calculos!$C$437/(Calculos!$C$433-Calculos!$C$434)/12,NA())</f>
        <v>2665.5592769623</v>
      </c>
    </row>
    <row r="463" customFormat="false" ht="12.8" hidden="false" customHeight="false" outlineLevel="0" collapsed="false">
      <c r="A463" s="69" t="s">
        <v>303</v>
      </c>
      <c r="B463" s="69"/>
      <c r="C463" s="69"/>
      <c r="D463" s="69"/>
      <c r="E463" s="69"/>
      <c r="F463" s="69"/>
      <c r="G463" s="69"/>
    </row>
    <row r="464" customFormat="false" ht="12.8" hidden="false" customHeight="false" outlineLevel="0" collapsed="false">
      <c r="A464" s="0" t="s">
        <v>248</v>
      </c>
      <c r="B464" s="74" t="n">
        <f aca="false">Inputs!$C$85</f>
        <v>1.1</v>
      </c>
    </row>
    <row r="465" customFormat="false" ht="12.8" hidden="false" customHeight="false" outlineLevel="0" collapsed="false">
      <c r="A465" s="0" t="s">
        <v>247</v>
      </c>
      <c r="B465" s="0" t="n">
        <f aca="false">1</f>
        <v>1</v>
      </c>
    </row>
    <row r="466" customFormat="false" ht="12.8" hidden="false" customHeight="false" outlineLevel="0" collapsed="false">
      <c r="A466" s="0" t="s">
        <v>280</v>
      </c>
      <c r="B466" s="0" t="n">
        <f aca="false">1</f>
        <v>1</v>
      </c>
    </row>
    <row r="467" customFormat="false" ht="12.8" hidden="false" customHeight="false" outlineLevel="0" collapsed="false">
      <c r="A467" s="0" t="s">
        <v>281</v>
      </c>
      <c r="B467" s="0" t="n">
        <f aca="false">1</f>
        <v>1</v>
      </c>
    </row>
    <row r="468" customFormat="false" ht="12.8" hidden="false" customHeight="false" outlineLevel="0" collapsed="false">
      <c r="A468" s="0" t="s">
        <v>282</v>
      </c>
      <c r="B468" s="0" t="n">
        <f aca="false">1</f>
        <v>1</v>
      </c>
    </row>
    <row r="470" customFormat="false" ht="12.8" hidden="false" customHeight="false" outlineLevel="0" collapsed="false">
      <c r="A470" s="0" t="s">
        <v>283</v>
      </c>
      <c r="B470" s="71" t="n">
        <f aca="false">Inputs!$C$52+Inputs!$C$53+Inputs!$C$54+Inputs!$C$55+Inputs!$C$56+Inputs!$C$57+Inputs!$C$58+Inputs!$C$59</f>
        <v>8817795</v>
      </c>
    </row>
    <row r="471" customFormat="false" ht="12.8" hidden="false" customHeight="false" outlineLevel="0" collapsed="false">
      <c r="A471" s="0" t="s">
        <v>284</v>
      </c>
      <c r="B471" s="71" t="n">
        <f aca="false">Calculos!$B$470*Inputs!$C$60</f>
        <v>1322669.25</v>
      </c>
    </row>
    <row r="472" customFormat="false" ht="12.8" hidden="false" customHeight="false" outlineLevel="0" collapsed="false">
      <c r="A472" s="0" t="s">
        <v>285</v>
      </c>
      <c r="B472" s="72" t="n">
        <f aca="false">IF(Inputs!$C$40&gt;0,Inputs!$C$40,Inputs!$C$38*Inputs!$C$39)</f>
        <v>759720</v>
      </c>
    </row>
    <row r="473" customFormat="false" ht="12.8" hidden="false" customHeight="false" outlineLevel="0" collapsed="false">
      <c r="A473" s="0" t="s">
        <v>286</v>
      </c>
      <c r="B473" s="71" t="n">
        <f aca="false">((Inputs!$C$25*Inputs!$C$34+Inputs!$C$26*Inputs!$C$35+Inputs!$C$27*Inputs!$C$36+Inputs!$C$28)*(1+Inputs!$C$32)+Inputs!$C$29+Inputs!$C$30+Inputs!$C$31)</f>
        <v>2652.96256</v>
      </c>
    </row>
    <row r="474" customFormat="false" ht="12.8" hidden="false" customHeight="false" outlineLevel="0" collapsed="false">
      <c r="A474" s="0" t="s">
        <v>287</v>
      </c>
      <c r="B474" s="71" t="n">
        <f aca="false">(Calculos!$B$472+Inputs!$C$41*Inputs!$C$42+Inputs!$C$43+Inputs!$C$44+Inputs!$C$45+Inputs!$C$46+Inputs!$C$47)</f>
        <v>4123720</v>
      </c>
    </row>
    <row r="475" customFormat="false" ht="12.8" hidden="false" customHeight="false" outlineLevel="0" collapsed="false">
      <c r="A475" s="0" t="s">
        <v>288</v>
      </c>
      <c r="B475" s="71" t="n">
        <f aca="false">(Calculos!$B$470+Calculos!$B$471+Inputs!$C$61)*(1+Inputs!$C$64)*Calculos!$B$468</f>
        <v>25461533.8875</v>
      </c>
    </row>
    <row r="476" customFormat="false" ht="12.8" hidden="false" customHeight="false" outlineLevel="0" collapsed="false">
      <c r="A476" s="0" t="s">
        <v>289</v>
      </c>
      <c r="B476" s="71" t="n">
        <f aca="false">Calculos!$B$475+(Inputs!$C$62+Inputs!$C$63)*Calculos!$B$468</f>
        <v>27961533.8875</v>
      </c>
    </row>
    <row r="477" customFormat="false" ht="12.8" hidden="false" customHeight="false" outlineLevel="0" collapsed="false">
      <c r="A477" s="0" t="s">
        <v>290</v>
      </c>
      <c r="B477" s="71" t="n">
        <f aca="false">Calculos!$B$475/Inputs!$C$66</f>
        <v>5092306.7775</v>
      </c>
    </row>
    <row r="478" customFormat="false" ht="12.8" hidden="false" customHeight="false" outlineLevel="0" collapsed="false">
      <c r="A478" s="0" t="s">
        <v>291</v>
      </c>
      <c r="B478" s="71" t="n">
        <f aca="false">Calculos!$B$475*Inputs!$C$67</f>
        <v>2546153.38875</v>
      </c>
    </row>
    <row r="479" customFormat="false" ht="12.8" hidden="false" customHeight="false" outlineLevel="0" collapsed="false">
      <c r="A479" s="0" t="s">
        <v>292</v>
      </c>
      <c r="B479" s="72" t="n">
        <f aca="false">Calculos!$B$472*Inputs!$C$65</f>
        <v>1519440</v>
      </c>
    </row>
    <row r="481" customFormat="false" ht="18.45" hidden="false" customHeight="true" outlineLevel="0" collapsed="false">
      <c r="A481" s="13" t="s">
        <v>226</v>
      </c>
      <c r="B481" s="13" t="s">
        <v>241</v>
      </c>
      <c r="C481" s="13" t="s">
        <v>242</v>
      </c>
      <c r="D481" s="13" t="s">
        <v>243</v>
      </c>
      <c r="E481" s="13" t="s">
        <v>244</v>
      </c>
      <c r="F481" s="13" t="s">
        <v>245</v>
      </c>
      <c r="G481" s="13" t="s">
        <v>246</v>
      </c>
    </row>
    <row r="482" customFormat="false" ht="12.8" hidden="false" customHeight="false" outlineLevel="0" collapsed="false">
      <c r="A482" s="0" t="s">
        <v>247</v>
      </c>
      <c r="C482" s="0" t="n">
        <f aca="false">Inputs!$C$13*Calculos!$B$465</f>
        <v>30000</v>
      </c>
      <c r="D482" s="0" t="n">
        <f aca="false">Inputs!$C$14*Calculos!$B$465</f>
        <v>42000</v>
      </c>
      <c r="E482" s="0" t="n">
        <f aca="false">Inputs!$C$15*Calculos!$B$465</f>
        <v>54000</v>
      </c>
      <c r="F482" s="0" t="n">
        <f aca="false">Inputs!$C$16*Calculos!$B$465</f>
        <v>66000</v>
      </c>
      <c r="G482" s="0" t="n">
        <f aca="false">Inputs!$C$17*Calculos!$B$465</f>
        <v>72000</v>
      </c>
    </row>
    <row r="483" customFormat="false" ht="12.8" hidden="false" customHeight="false" outlineLevel="0" collapsed="false">
      <c r="A483" s="0" t="s">
        <v>293</v>
      </c>
      <c r="C483" s="0" t="n">
        <f aca="false">(1+Inputs!$C$8)^1</f>
        <v>1.03</v>
      </c>
      <c r="D483" s="0" t="n">
        <f aca="false">(1+Inputs!$C$8)^2</f>
        <v>1.0609</v>
      </c>
      <c r="E483" s="0" t="n">
        <f aca="false">(1+Inputs!$C$8)^3</f>
        <v>1.092727</v>
      </c>
      <c r="F483" s="0" t="n">
        <f aca="false">(1+Inputs!$C$8)^4</f>
        <v>1.12550881</v>
      </c>
      <c r="G483" s="0" t="n">
        <f aca="false">(1+Inputs!$C$8)^5</f>
        <v>1.1592740743</v>
      </c>
    </row>
    <row r="484" customFormat="false" ht="12.8" hidden="false" customHeight="false" outlineLevel="0" collapsed="false">
      <c r="A484" s="0" t="s">
        <v>248</v>
      </c>
      <c r="B484" s="72"/>
      <c r="C484" s="71" t="n">
        <f aca="false">Inputs!$C$12*Calculos!$B$464*Calculos!$C$483</f>
        <v>4758.6</v>
      </c>
      <c r="D484" s="71" t="n">
        <f aca="false">Inputs!$C$12*Calculos!$B$464*Calculos!$D$483</f>
        <v>4901.358</v>
      </c>
      <c r="E484" s="71" t="n">
        <f aca="false">Inputs!$C$12*Calculos!$B$464*Calculos!$E$483</f>
        <v>5048.39874</v>
      </c>
      <c r="F484" s="71" t="n">
        <f aca="false">Inputs!$C$12*Calculos!$B$464*Calculos!$F$483</f>
        <v>5199.8507022</v>
      </c>
      <c r="G484" s="71" t="n">
        <f aca="false">Inputs!$C$12*Calculos!$B$464*Calculos!$G$483</f>
        <v>5355.846223266</v>
      </c>
    </row>
    <row r="485" customFormat="false" ht="12.8" hidden="false" customHeight="false" outlineLevel="0" collapsed="false">
      <c r="A485" s="0" t="s">
        <v>294</v>
      </c>
      <c r="B485" s="72"/>
      <c r="C485" s="71" t="n">
        <f aca="false">Calculos!$B$473*Calculos!$B$466*Calculos!$C$483</f>
        <v>2732.5514368</v>
      </c>
      <c r="D485" s="71" t="n">
        <f aca="false">Calculos!$B$473*Calculos!$B$466*Calculos!$D$483</f>
        <v>2814.527979904</v>
      </c>
      <c r="E485" s="71" t="n">
        <f aca="false">Calculos!$B$473*Calculos!$B$466*Calculos!$E$483</f>
        <v>2898.96381930112</v>
      </c>
      <c r="F485" s="71" t="n">
        <f aca="false">Calculos!$B$473*Calculos!$B$466*Calculos!$F$483</f>
        <v>2985.93273388015</v>
      </c>
      <c r="G485" s="71" t="n">
        <f aca="false">Calculos!$B$473*Calculos!$B$466*Calculos!$G$483</f>
        <v>3075.51071589656</v>
      </c>
    </row>
    <row r="486" customFormat="false" ht="12.8" hidden="false" customHeight="false" outlineLevel="0" collapsed="false">
      <c r="A486" s="0" t="s">
        <v>249</v>
      </c>
      <c r="B486" s="72"/>
      <c r="C486" s="71" t="n">
        <f aca="false">Calculos!$C$482*Calculos!$C$484</f>
        <v>142758000</v>
      </c>
      <c r="D486" s="71" t="n">
        <f aca="false">Calculos!$D$482*Calculos!$D$484</f>
        <v>205857036</v>
      </c>
      <c r="E486" s="71" t="n">
        <f aca="false">Calculos!$E$482*Calculos!$E$484</f>
        <v>272613531.96</v>
      </c>
      <c r="F486" s="71" t="n">
        <f aca="false">Calculos!$F$482*Calculos!$F$484</f>
        <v>343190146.3452</v>
      </c>
      <c r="G486" s="71" t="n">
        <f aca="false">Calculos!$G$482*Calculos!$G$484</f>
        <v>385620928.075152</v>
      </c>
    </row>
    <row r="487" customFormat="false" ht="12.8" hidden="false" customHeight="false" outlineLevel="0" collapsed="false">
      <c r="A487" s="0" t="s">
        <v>250</v>
      </c>
      <c r="B487" s="72"/>
      <c r="C487" s="71" t="n">
        <f aca="false">Calculos!$C$482*Calculos!$C$485</f>
        <v>81976543.104</v>
      </c>
      <c r="D487" s="71" t="n">
        <f aca="false">Calculos!$D$482*Calculos!$D$485</f>
        <v>118210175.155968</v>
      </c>
      <c r="E487" s="71" t="n">
        <f aca="false">Calculos!$E$482*Calculos!$E$485</f>
        <v>156544046.242261</v>
      </c>
      <c r="F487" s="71" t="n">
        <f aca="false">Calculos!$F$482*Calculos!$F$485</f>
        <v>197071560.43609</v>
      </c>
      <c r="G487" s="71" t="n">
        <f aca="false">Calculos!$G$482*Calculos!$G$485</f>
        <v>221436771.544552</v>
      </c>
    </row>
    <row r="488" customFormat="false" ht="12.8" hidden="false" customHeight="false" outlineLevel="0" collapsed="false">
      <c r="A488" s="0" t="s">
        <v>251</v>
      </c>
      <c r="B488" s="72"/>
      <c r="C488" s="71" t="n">
        <f aca="false">Calculos!$B$474*12*Calculos!$B$467*Calculos!$C$483</f>
        <v>50969179.2</v>
      </c>
      <c r="D488" s="71" t="n">
        <f aca="false">Calculos!$B$474*12*Calculos!$B$467*Calculos!$D$483</f>
        <v>52498254.576</v>
      </c>
      <c r="E488" s="71" t="n">
        <f aca="false">Calculos!$B$474*12*Calculos!$B$467*Calculos!$E$483</f>
        <v>54073202.21328</v>
      </c>
      <c r="F488" s="71" t="n">
        <f aca="false">Calculos!$B$474*12*Calculos!$B$467*Calculos!$F$483</f>
        <v>55695398.2796784</v>
      </c>
      <c r="G488" s="71" t="n">
        <f aca="false">Calculos!$B$474*12*Calculos!$B$467*Calculos!$G$483</f>
        <v>57366260.2280688</v>
      </c>
    </row>
    <row r="489" customFormat="false" ht="12.8" hidden="false" customHeight="false" outlineLevel="0" collapsed="false">
      <c r="A489" s="0" t="s">
        <v>252</v>
      </c>
      <c r="B489" s="72"/>
      <c r="C489" s="71" t="n">
        <f aca="false">Calculos!$C$486-Calculos!$C$487-Calculos!$C$488</f>
        <v>9812277.696</v>
      </c>
      <c r="D489" s="71" t="n">
        <f aca="false">Calculos!$D$486-Calculos!$D$487-Calculos!$D$488</f>
        <v>35148606.268032</v>
      </c>
      <c r="E489" s="71" t="n">
        <f aca="false">Calculos!$E$486-Calculos!$E$487-Calculos!$E$488</f>
        <v>61996283.5044595</v>
      </c>
      <c r="F489" s="71" t="n">
        <f aca="false">Calculos!$F$486-Calculos!$F$487-Calculos!$F$488</f>
        <v>90423187.6294314</v>
      </c>
      <c r="G489" s="71" t="n">
        <f aca="false">Calculos!$G$486-Calculos!$G$487-Calculos!$G$488</f>
        <v>106817896.302531</v>
      </c>
    </row>
    <row r="490" customFormat="false" ht="12.8" hidden="false" customHeight="false" outlineLevel="0" collapsed="false">
      <c r="A490" s="0" t="s">
        <v>253</v>
      </c>
      <c r="B490" s="72"/>
      <c r="C490" s="71" t="n">
        <f aca="false">Calculos!$B$477</f>
        <v>5092306.7775</v>
      </c>
      <c r="D490" s="71" t="n">
        <f aca="false">Calculos!$B$477</f>
        <v>5092306.7775</v>
      </c>
      <c r="E490" s="71" t="n">
        <f aca="false">Calculos!$B$477</f>
        <v>5092306.7775</v>
      </c>
      <c r="F490" s="71" t="n">
        <f aca="false">Calculos!$B$477</f>
        <v>5092306.7775</v>
      </c>
      <c r="G490" s="71" t="n">
        <f aca="false">Calculos!$B$477</f>
        <v>5092306.7775</v>
      </c>
    </row>
    <row r="491" customFormat="false" ht="12.8" hidden="false" customHeight="false" outlineLevel="0" collapsed="false">
      <c r="A491" s="0" t="s">
        <v>254</v>
      </c>
      <c r="B491" s="72"/>
      <c r="C491" s="71" t="n">
        <f aca="false">Calculos!$C$489-Calculos!$C$490</f>
        <v>4719970.9185</v>
      </c>
      <c r="D491" s="71" t="n">
        <f aca="false">Calculos!$D$489-Calculos!$D$490</f>
        <v>30056299.490532</v>
      </c>
      <c r="E491" s="71" t="n">
        <f aca="false">Calculos!$E$489-Calculos!$E$490</f>
        <v>56903976.7269595</v>
      </c>
      <c r="F491" s="71" t="n">
        <f aca="false">Calculos!$F$489-Calculos!$F$490</f>
        <v>85330880.8519314</v>
      </c>
      <c r="G491" s="71" t="n">
        <f aca="false">Calculos!$G$489-Calculos!$G$490</f>
        <v>101725589.525031</v>
      </c>
    </row>
    <row r="492" customFormat="false" ht="12.8" hidden="false" customHeight="false" outlineLevel="0" collapsed="false">
      <c r="A492" s="0" t="s">
        <v>255</v>
      </c>
      <c r="B492" s="72"/>
      <c r="C492" s="72" t="n">
        <f aca="false">0</f>
        <v>0</v>
      </c>
      <c r="D492" s="72" t="n">
        <f aca="false">Calculos!$C$495</f>
        <v>0</v>
      </c>
      <c r="E492" s="72" t="n">
        <f aca="false">Calculos!$D$495</f>
        <v>0</v>
      </c>
      <c r="F492" s="72" t="n">
        <f aca="false">Calculos!$E$495</f>
        <v>0</v>
      </c>
      <c r="G492" s="72" t="n">
        <f aca="false">Calculos!$F$495</f>
        <v>0</v>
      </c>
    </row>
    <row r="493" customFormat="false" ht="12.8" hidden="false" customHeight="false" outlineLevel="0" collapsed="false">
      <c r="A493" s="0" t="s">
        <v>256</v>
      </c>
      <c r="B493" s="72"/>
      <c r="C493" s="72" t="n">
        <f aca="false">MAX(0,Calculos!$C$491-Calculos!$C$492)</f>
        <v>4719970.9185</v>
      </c>
      <c r="D493" s="72" t="n">
        <f aca="false">MAX(0,Calculos!$D$491-Calculos!$D$492)</f>
        <v>30056299.490532</v>
      </c>
      <c r="E493" s="72" t="n">
        <f aca="false">MAX(0,Calculos!$E$491-Calculos!$E$492)</f>
        <v>56903976.7269595</v>
      </c>
      <c r="F493" s="72" t="n">
        <f aca="false">MAX(0,Calculos!$F$491-Calculos!$F$492)</f>
        <v>85330880.8519314</v>
      </c>
      <c r="G493" s="72" t="n">
        <f aca="false">MAX(0,Calculos!$G$491-Calculos!$G$492)</f>
        <v>101725589.525031</v>
      </c>
    </row>
    <row r="494" customFormat="false" ht="12.8" hidden="false" customHeight="false" outlineLevel="0" collapsed="false">
      <c r="A494" s="0" t="s">
        <v>257</v>
      </c>
      <c r="B494" s="72"/>
      <c r="C494" s="72" t="n">
        <f aca="false">Calculos!$C$493*Inputs!$C$19</f>
        <v>589996.364812499</v>
      </c>
      <c r="D494" s="72" t="n">
        <f aca="false">Calculos!$D$493*Inputs!$C$20</f>
        <v>4508444.9235798</v>
      </c>
      <c r="E494" s="72" t="n">
        <f aca="false">Calculos!$E$493*Inputs!$C$21</f>
        <v>14225994.1817399</v>
      </c>
      <c r="F494" s="72" t="n">
        <f aca="false">Calculos!$F$493*Inputs!$C$22</f>
        <v>21332720.2129829</v>
      </c>
      <c r="G494" s="72" t="n">
        <f aca="false">Calculos!$G$493*Inputs!$C$23</f>
        <v>25431397.3812578</v>
      </c>
    </row>
    <row r="495" customFormat="false" ht="12.8" hidden="false" customHeight="false" outlineLevel="0" collapsed="false">
      <c r="A495" s="0" t="s">
        <v>258</v>
      </c>
      <c r="B495" s="72"/>
      <c r="C495" s="72" t="n">
        <f aca="false">MAX(0,Calculos!$C$492-Calculos!$C$491)</f>
        <v>0</v>
      </c>
      <c r="D495" s="72" t="n">
        <f aca="false">MAX(0,Calculos!$D$492-Calculos!$D$491)</f>
        <v>0</v>
      </c>
      <c r="E495" s="72" t="n">
        <f aca="false">MAX(0,Calculos!$E$492-Calculos!$E$491)</f>
        <v>0</v>
      </c>
      <c r="F495" s="72" t="n">
        <f aca="false">MAX(0,Calculos!$F$492-Calculos!$F$491)</f>
        <v>0</v>
      </c>
      <c r="G495" s="72" t="n">
        <f aca="false">MAX(0,Calculos!$G$492-Calculos!$G$491)</f>
        <v>0</v>
      </c>
    </row>
    <row r="496" customFormat="false" ht="12.8" hidden="false" customHeight="false" outlineLevel="0" collapsed="false">
      <c r="A496" s="0" t="s">
        <v>259</v>
      </c>
      <c r="B496" s="72"/>
      <c r="C496" s="71" t="n">
        <f aca="false">Calculos!$C$486*Inputs!$C$48/365+Calculos!$C$487*Inputs!$C$49/365-Calculos!$C$487*Inputs!$C$50/365</f>
        <v>15102433.2782466</v>
      </c>
      <c r="D496" s="71" t="n">
        <f aca="false">Calculos!$D$486*Inputs!$C$48/365+Calculos!$D$487*Inputs!$C$49/365-Calculos!$D$487*Inputs!$C$50/365</f>
        <v>21777708.7872316</v>
      </c>
      <c r="E496" s="71" t="n">
        <f aca="false">Calculos!$E$486*Inputs!$C$48/365+Calculos!$E$487*Inputs!$C$49/365-Calculos!$E$487*Inputs!$C$50/365</f>
        <v>28839908.6368052</v>
      </c>
      <c r="F496" s="71" t="n">
        <f aca="false">Calculos!$F$486*Inputs!$C$48/365+Calculos!$F$487*Inputs!$C$49/365-Calculos!$F$487*Inputs!$C$50/365</f>
        <v>36306240.5394448</v>
      </c>
      <c r="G496" s="71" t="n">
        <f aca="false">Calculos!$G$486*Inputs!$C$48/365+Calculos!$G$487*Inputs!$C$49/365-Calculos!$G$487*Inputs!$C$50/365</f>
        <v>40795012.0970489</v>
      </c>
    </row>
    <row r="497" customFormat="false" ht="12.8" hidden="false" customHeight="false" outlineLevel="0" collapsed="false">
      <c r="A497" s="0" t="s">
        <v>260</v>
      </c>
      <c r="B497" s="72"/>
      <c r="C497" s="71" t="n">
        <f aca="false">Calculos!$C$496-Calculos!$C$496</f>
        <v>0</v>
      </c>
      <c r="D497" s="71" t="n">
        <f aca="false">Calculos!$D$496-Calculos!$C$496</f>
        <v>6675275.50898499</v>
      </c>
      <c r="E497" s="71" t="n">
        <f aca="false">Calculos!$E$496-Calculos!$D$496</f>
        <v>7062199.84957366</v>
      </c>
      <c r="F497" s="71" t="n">
        <f aca="false">Calculos!$F$496-Calculos!$E$496</f>
        <v>7466331.90263958</v>
      </c>
      <c r="G497" s="71" t="n">
        <f aca="false">Calculos!$G$496-Calculos!$F$496</f>
        <v>4488771.55760408</v>
      </c>
    </row>
    <row r="498" customFormat="false" ht="12.8" hidden="false" customHeight="false" outlineLevel="0" collapsed="false">
      <c r="A498" s="0" t="s">
        <v>261</v>
      </c>
      <c r="B498" s="72"/>
      <c r="C498" s="72" t="n">
        <f aca="false">0</f>
        <v>0</v>
      </c>
      <c r="D498" s="72" t="n">
        <f aca="false">0</f>
        <v>0</v>
      </c>
      <c r="E498" s="72" t="n">
        <f aca="false">0</f>
        <v>0</v>
      </c>
      <c r="F498" s="72" t="n">
        <f aca="false">0</f>
        <v>0</v>
      </c>
      <c r="G498" s="71" t="n">
        <f aca="false">Calculos!$B$478*(1-Inputs!$C$23)+Calculos!$G$496+Calculos!$B$479</f>
        <v>44224067.1386114</v>
      </c>
    </row>
    <row r="499" customFormat="false" ht="12.8" hidden="false" customHeight="false" outlineLevel="0" collapsed="false">
      <c r="A499" s="0" t="s">
        <v>262</v>
      </c>
      <c r="B499" s="71" t="n">
        <f aca="false">-(Calculos!$B$476+Calculos!$B$479+Calculos!$C$496)</f>
        <v>-44583407.1657466</v>
      </c>
      <c r="C499" s="71" t="n">
        <f aca="false">Calculos!$C$489-Calculos!$C$494-Calculos!$C$497+Calculos!$C$498</f>
        <v>9222281.3311875</v>
      </c>
      <c r="D499" s="71" t="n">
        <f aca="false">Calculos!$D$489-Calculos!$D$494-Calculos!$D$497+Calculos!$D$498</f>
        <v>23964885.8354672</v>
      </c>
      <c r="E499" s="71" t="n">
        <f aca="false">Calculos!$E$489-Calculos!$E$494-Calculos!$E$497+Calculos!$E$498</f>
        <v>40708089.473146</v>
      </c>
      <c r="F499" s="71" t="n">
        <f aca="false">Calculos!$F$489-Calculos!$F$494-Calculos!$F$497+Calculos!$F$498</f>
        <v>61624135.513809</v>
      </c>
      <c r="G499" s="71" t="n">
        <f aca="false">Calculos!$G$489-Calculos!$G$494-Calculos!$G$497+Calculos!$G$498</f>
        <v>121121794.502281</v>
      </c>
    </row>
    <row r="500" customFormat="false" ht="12.8" hidden="false" customHeight="false" outlineLevel="0" collapsed="false">
      <c r="A500" s="0" t="s">
        <v>263</v>
      </c>
      <c r="B500" s="72" t="n">
        <v>1</v>
      </c>
      <c r="C500" s="72" t="n">
        <f aca="false">1/(1+Inputs!$C$7)^1</f>
        <v>0.869565217391304</v>
      </c>
      <c r="D500" s="72" t="n">
        <f aca="false">1/(1+Inputs!$C$7)^2</f>
        <v>0.756143667296787</v>
      </c>
      <c r="E500" s="72" t="n">
        <f aca="false">1/(1+Inputs!$C$7)^3</f>
        <v>0.657516232431988</v>
      </c>
      <c r="F500" s="72" t="n">
        <f aca="false">1/(1+Inputs!$C$7)^4</f>
        <v>0.571753245593033</v>
      </c>
      <c r="G500" s="72" t="n">
        <f aca="false">1/(1+Inputs!$C$7)^5</f>
        <v>0.49717673529829</v>
      </c>
    </row>
    <row r="501" customFormat="false" ht="12.8" hidden="false" customHeight="false" outlineLevel="0" collapsed="false">
      <c r="A501" s="0" t="s">
        <v>264</v>
      </c>
      <c r="B501" s="71" t="n">
        <f aca="false">Calculos!$B$499</f>
        <v>-44583407.1657466</v>
      </c>
      <c r="C501" s="71" t="n">
        <f aca="false">Calculos!$C$499*Calculos!$C$500</f>
        <v>8019375.07059782</v>
      </c>
      <c r="D501" s="71" t="n">
        <f aca="false">Calculos!$D$499*Calculos!$D$500</f>
        <v>18120896.661979</v>
      </c>
      <c r="E501" s="71" t="n">
        <f aca="false">Calculos!$E$499*Calculos!$E$500</f>
        <v>26766229.6198872</v>
      </c>
      <c r="F501" s="71" t="n">
        <f aca="false">Calculos!$F$499*Calculos!$F$500</f>
        <v>35233799.4868852</v>
      </c>
      <c r="G501" s="71" t="n">
        <f aca="false">Calculos!$G$499*Calculos!$G$500</f>
        <v>60218938.3641142</v>
      </c>
    </row>
    <row r="502" customFormat="false" ht="12.8" hidden="false" customHeight="false" outlineLevel="0" collapsed="false">
      <c r="A502" s="0" t="s">
        <v>265</v>
      </c>
      <c r="B502" s="71" t="n">
        <f aca="false">Calculos!$B$499</f>
        <v>-44583407.1657466</v>
      </c>
      <c r="C502" s="71" t="n">
        <f aca="false">Calculos!$B$502+Calculos!$C$499</f>
        <v>-35361125.8345591</v>
      </c>
      <c r="D502" s="71" t="n">
        <f aca="false">Calculos!$C$502+Calculos!$D$499</f>
        <v>-11396239.9990919</v>
      </c>
      <c r="E502" s="71" t="n">
        <f aca="false">Calculos!$D$502+Calculos!$E$499</f>
        <v>29311849.4740541</v>
      </c>
      <c r="F502" s="71" t="n">
        <f aca="false">Calculos!$E$502+Calculos!$F$499</f>
        <v>90935984.9878631</v>
      </c>
      <c r="G502" s="71" t="n">
        <f aca="false">Calculos!$F$502+Calculos!$G$499</f>
        <v>212057779.490144</v>
      </c>
    </row>
    <row r="503" customFormat="false" ht="12.8" hidden="false" customHeight="false" outlineLevel="0" collapsed="false">
      <c r="A503" s="0" t="s">
        <v>266</v>
      </c>
      <c r="B503" s="71" t="n">
        <f aca="false">Calculos!$B$501</f>
        <v>-44583407.1657466</v>
      </c>
      <c r="C503" s="71" t="n">
        <f aca="false">Calculos!$B$503+Calculos!$C$501</f>
        <v>-36564032.0951487</v>
      </c>
      <c r="D503" s="71" t="n">
        <f aca="false">Calculos!$C$503+Calculos!$D$501</f>
        <v>-18443135.4331698</v>
      </c>
      <c r="E503" s="71" t="n">
        <f aca="false">Calculos!$D$503+Calculos!$E$501</f>
        <v>8323094.18671747</v>
      </c>
      <c r="F503" s="71" t="n">
        <f aca="false">Calculos!$E$503+Calculos!$F$501</f>
        <v>43556893.6736027</v>
      </c>
      <c r="G503" s="71" t="n">
        <f aca="false">Calculos!$F$503+Calculos!$G$501</f>
        <v>103775832.037717</v>
      </c>
    </row>
    <row r="505" customFormat="false" ht="12.8" hidden="false" customHeight="false" outlineLevel="0" collapsed="false">
      <c r="A505" s="0" t="s">
        <v>3</v>
      </c>
      <c r="B505" s="72" t="n">
        <f aca="false">-Calculos!$B$499</f>
        <v>44583407.1657466</v>
      </c>
    </row>
    <row r="506" customFormat="false" ht="12.8" hidden="false" customHeight="false" outlineLevel="0" collapsed="false">
      <c r="A506" s="0" t="s">
        <v>7</v>
      </c>
      <c r="B506" s="71" t="n">
        <f aca="false">SUM(Calculos!$B$501:$G$501)</f>
        <v>103775832.037717</v>
      </c>
    </row>
    <row r="507" customFormat="false" ht="12.8" hidden="false" customHeight="false" outlineLevel="0" collapsed="false">
      <c r="A507" s="0" t="s">
        <v>9</v>
      </c>
      <c r="B507" s="73" t="n">
        <f aca="false">IFERROR(IRR(Calculos!$B$499:$G$499),-1)</f>
        <v>0.615698797846398</v>
      </c>
    </row>
    <row r="508" customFormat="false" ht="12.8" hidden="false" customHeight="false" outlineLevel="0" collapsed="false">
      <c r="A508" s="0" t="s">
        <v>10</v>
      </c>
      <c r="B508" s="0" t="n">
        <f aca="false">IFERROR(IF(Calculos!$C$503&gt;=0,0+(-Calculos!$B$503/Calculos!$C$501),IF(Calculos!$D$503&gt;=0,1+(-Calculos!$C$503/Calculos!$D$501),IF(Calculos!$E$503&gt;=0,2+(-Calculos!$D$503/Calculos!$E$501),IF(Calculos!$F$503&gt;=0,3+(-Calculos!$E$503/Calculos!$F$501),IF(Calculos!$G$503&gt;=0,4+(-Calculos!$F$503/Calculos!$G$501),NA()))))),99)</f>
        <v>2.68904495310264</v>
      </c>
    </row>
    <row r="509" customFormat="false" ht="12.8" hidden="false" customHeight="false" outlineLevel="0" collapsed="false">
      <c r="A509" s="0" t="s">
        <v>12</v>
      </c>
      <c r="B509" s="0" t="n">
        <f aca="false">(Calculos!$C$501+Calculos!$D$501+Calculos!$E$501+Calculos!$F$501+Calculos!$G$501)/(-Calculos!$B$499)</f>
        <v>3.32767835916874</v>
      </c>
    </row>
    <row r="510" customFormat="false" ht="12.8" hidden="false" customHeight="false" outlineLevel="0" collapsed="false">
      <c r="A510" s="0" t="s">
        <v>5</v>
      </c>
      <c r="B510" s="71" t="n">
        <f aca="false">-MIN(Calculos!$B$502:$G$502)</f>
        <v>44583407.1657466</v>
      </c>
    </row>
    <row r="511" customFormat="false" ht="12.8" hidden="false" customHeight="false" outlineLevel="0" collapsed="false">
      <c r="A511" s="0" t="s">
        <v>13</v>
      </c>
      <c r="B511" s="0" t="n">
        <f aca="false">IF((Calculos!$C$484-Calculos!$C$485)&gt;0,Calculos!$C$488/(Calculos!$C$484-Calculos!$C$485)/12,NA())</f>
        <v>2096.41154567958</v>
      </c>
    </row>
    <row r="514" customFormat="false" ht="12.8" hidden="false" customHeight="false" outlineLevel="0" collapsed="false">
      <c r="A514" s="69" t="s">
        <v>304</v>
      </c>
      <c r="B514" s="69"/>
      <c r="C514" s="69"/>
      <c r="D514" s="69"/>
      <c r="E514" s="69"/>
      <c r="F514" s="69"/>
      <c r="G514" s="69"/>
    </row>
    <row r="515" customFormat="false" ht="12.8" hidden="false" customHeight="false" outlineLevel="0" collapsed="false">
      <c r="A515" s="0" t="s">
        <v>248</v>
      </c>
      <c r="B515" s="74" t="n">
        <f aca="false">Inputs!$C$84</f>
        <v>0.9</v>
      </c>
    </row>
    <row r="516" customFormat="false" ht="12.8" hidden="false" customHeight="false" outlineLevel="0" collapsed="false">
      <c r="A516" s="0" t="s">
        <v>247</v>
      </c>
      <c r="B516" s="74" t="n">
        <f aca="false">Inputs!$C$87</f>
        <v>1.2</v>
      </c>
    </row>
    <row r="517" customFormat="false" ht="12.8" hidden="false" customHeight="false" outlineLevel="0" collapsed="false">
      <c r="A517" s="0" t="s">
        <v>280</v>
      </c>
      <c r="B517" s="0" t="n">
        <f aca="false">1</f>
        <v>1</v>
      </c>
    </row>
    <row r="518" customFormat="false" ht="12.8" hidden="false" customHeight="false" outlineLevel="0" collapsed="false">
      <c r="A518" s="0" t="s">
        <v>281</v>
      </c>
      <c r="B518" s="0" t="n">
        <f aca="false">1</f>
        <v>1</v>
      </c>
    </row>
    <row r="519" customFormat="false" ht="12.8" hidden="false" customHeight="false" outlineLevel="0" collapsed="false">
      <c r="A519" s="0" t="s">
        <v>282</v>
      </c>
      <c r="B519" s="0" t="n">
        <f aca="false">1</f>
        <v>1</v>
      </c>
    </row>
    <row r="521" customFormat="false" ht="12.8" hidden="false" customHeight="false" outlineLevel="0" collapsed="false">
      <c r="A521" s="0" t="s">
        <v>283</v>
      </c>
      <c r="B521" s="71" t="n">
        <f aca="false">Inputs!$C$52+Inputs!$C$53+Inputs!$C$54+Inputs!$C$55+Inputs!$C$56+Inputs!$C$57+Inputs!$C$58+Inputs!$C$59</f>
        <v>8817795</v>
      </c>
    </row>
    <row r="522" customFormat="false" ht="12.8" hidden="false" customHeight="false" outlineLevel="0" collapsed="false">
      <c r="A522" s="0" t="s">
        <v>284</v>
      </c>
      <c r="B522" s="71" t="n">
        <f aca="false">Calculos!$B$521*Inputs!$C$60</f>
        <v>1322669.25</v>
      </c>
    </row>
    <row r="523" customFormat="false" ht="12.8" hidden="false" customHeight="false" outlineLevel="0" collapsed="false">
      <c r="A523" s="0" t="s">
        <v>285</v>
      </c>
      <c r="B523" s="72" t="n">
        <f aca="false">IF(Inputs!$C$40&gt;0,Inputs!$C$40,Inputs!$C$38*Inputs!$C$39)</f>
        <v>759720</v>
      </c>
    </row>
    <row r="524" customFormat="false" ht="12.8" hidden="false" customHeight="false" outlineLevel="0" collapsed="false">
      <c r="A524" s="0" t="s">
        <v>286</v>
      </c>
      <c r="B524" s="71" t="n">
        <f aca="false">((Inputs!$C$25*Inputs!$C$34+Inputs!$C$26*Inputs!$C$35+Inputs!$C$27*Inputs!$C$36+Inputs!$C$28)*(1+Inputs!$C$32)+Inputs!$C$29+Inputs!$C$30+Inputs!$C$31)</f>
        <v>2652.96256</v>
      </c>
    </row>
    <row r="525" customFormat="false" ht="12.8" hidden="false" customHeight="false" outlineLevel="0" collapsed="false">
      <c r="A525" s="0" t="s">
        <v>287</v>
      </c>
      <c r="B525" s="71" t="n">
        <f aca="false">(Calculos!$B$523+Inputs!$C$41*Inputs!$C$42+Inputs!$C$43+Inputs!$C$44+Inputs!$C$45+Inputs!$C$46+Inputs!$C$47)</f>
        <v>4123720</v>
      </c>
    </row>
    <row r="526" customFormat="false" ht="12.8" hidden="false" customHeight="false" outlineLevel="0" collapsed="false">
      <c r="A526" s="0" t="s">
        <v>288</v>
      </c>
      <c r="B526" s="71" t="n">
        <f aca="false">(Calculos!$B$521+Calculos!$B$522+Inputs!$C$61)*(1+Inputs!$C$64)*Calculos!$B$519</f>
        <v>25461533.8875</v>
      </c>
    </row>
    <row r="527" customFormat="false" ht="12.8" hidden="false" customHeight="false" outlineLevel="0" collapsed="false">
      <c r="A527" s="0" t="s">
        <v>289</v>
      </c>
      <c r="B527" s="71" t="n">
        <f aca="false">Calculos!$B$526+(Inputs!$C$62+Inputs!$C$63)*Calculos!$B$519</f>
        <v>27961533.8875</v>
      </c>
    </row>
    <row r="528" customFormat="false" ht="12.8" hidden="false" customHeight="false" outlineLevel="0" collapsed="false">
      <c r="A528" s="0" t="s">
        <v>290</v>
      </c>
      <c r="B528" s="71" t="n">
        <f aca="false">Calculos!$B$526/Inputs!$C$66</f>
        <v>5092306.7775</v>
      </c>
    </row>
    <row r="529" customFormat="false" ht="12.8" hidden="false" customHeight="false" outlineLevel="0" collapsed="false">
      <c r="A529" s="0" t="s">
        <v>291</v>
      </c>
      <c r="B529" s="71" t="n">
        <f aca="false">Calculos!$B$526*Inputs!$C$67</f>
        <v>2546153.38875</v>
      </c>
    </row>
    <row r="530" customFormat="false" ht="12.8" hidden="false" customHeight="false" outlineLevel="0" collapsed="false">
      <c r="A530" s="0" t="s">
        <v>292</v>
      </c>
      <c r="B530" s="72" t="n">
        <f aca="false">Calculos!$B$523*Inputs!$C$65</f>
        <v>1519440</v>
      </c>
    </row>
    <row r="532" customFormat="false" ht="18.45" hidden="false" customHeight="true" outlineLevel="0" collapsed="false">
      <c r="A532" s="13" t="s">
        <v>226</v>
      </c>
      <c r="B532" s="13" t="s">
        <v>241</v>
      </c>
      <c r="C532" s="13" t="s">
        <v>242</v>
      </c>
      <c r="D532" s="13" t="s">
        <v>243</v>
      </c>
      <c r="E532" s="13" t="s">
        <v>244</v>
      </c>
      <c r="F532" s="13" t="s">
        <v>245</v>
      </c>
      <c r="G532" s="13" t="s">
        <v>246</v>
      </c>
    </row>
    <row r="533" customFormat="false" ht="12.8" hidden="false" customHeight="false" outlineLevel="0" collapsed="false">
      <c r="A533" s="0" t="s">
        <v>247</v>
      </c>
      <c r="C533" s="0" t="n">
        <f aca="false">Inputs!$C$13*Calculos!$B$516</f>
        <v>36000</v>
      </c>
      <c r="D533" s="0" t="n">
        <f aca="false">Inputs!$C$14*Calculos!$B$516</f>
        <v>50400</v>
      </c>
      <c r="E533" s="0" t="n">
        <f aca="false">Inputs!$C$15*Calculos!$B$516</f>
        <v>64800</v>
      </c>
      <c r="F533" s="0" t="n">
        <f aca="false">Inputs!$C$16*Calculos!$B$516</f>
        <v>79200</v>
      </c>
      <c r="G533" s="0" t="n">
        <f aca="false">Inputs!$C$17*Calculos!$B$516</f>
        <v>86400</v>
      </c>
    </row>
    <row r="534" customFormat="false" ht="12.8" hidden="false" customHeight="false" outlineLevel="0" collapsed="false">
      <c r="A534" s="0" t="s">
        <v>293</v>
      </c>
      <c r="C534" s="0" t="n">
        <f aca="false">(1+Inputs!$C$8)^1</f>
        <v>1.03</v>
      </c>
      <c r="D534" s="0" t="n">
        <f aca="false">(1+Inputs!$C$8)^2</f>
        <v>1.0609</v>
      </c>
      <c r="E534" s="0" t="n">
        <f aca="false">(1+Inputs!$C$8)^3</f>
        <v>1.092727</v>
      </c>
      <c r="F534" s="0" t="n">
        <f aca="false">(1+Inputs!$C$8)^4</f>
        <v>1.12550881</v>
      </c>
      <c r="G534" s="0" t="n">
        <f aca="false">(1+Inputs!$C$8)^5</f>
        <v>1.1592740743</v>
      </c>
    </row>
    <row r="535" customFormat="false" ht="12.8" hidden="false" customHeight="false" outlineLevel="0" collapsed="false">
      <c r="A535" s="0" t="s">
        <v>248</v>
      </c>
      <c r="B535" s="72"/>
      <c r="C535" s="71" t="n">
        <f aca="false">Inputs!$C$12*Calculos!$B$515*Calculos!$C$534</f>
        <v>3893.4</v>
      </c>
      <c r="D535" s="71" t="n">
        <f aca="false">Inputs!$C$12*Calculos!$B$515*Calculos!$D$534</f>
        <v>4010.202</v>
      </c>
      <c r="E535" s="71" t="n">
        <f aca="false">Inputs!$C$12*Calculos!$B$515*Calculos!$E$534</f>
        <v>4130.50806</v>
      </c>
      <c r="F535" s="71" t="n">
        <f aca="false">Inputs!$C$12*Calculos!$B$515*Calculos!$F$534</f>
        <v>4254.4233018</v>
      </c>
      <c r="G535" s="71" t="n">
        <f aca="false">Inputs!$C$12*Calculos!$B$515*Calculos!$G$534</f>
        <v>4382.056000854</v>
      </c>
    </row>
    <row r="536" customFormat="false" ht="12.8" hidden="false" customHeight="false" outlineLevel="0" collapsed="false">
      <c r="A536" s="0" t="s">
        <v>294</v>
      </c>
      <c r="B536" s="72"/>
      <c r="C536" s="71" t="n">
        <f aca="false">Calculos!$B$524*Calculos!$B$517*Calculos!$C$534</f>
        <v>2732.5514368</v>
      </c>
      <c r="D536" s="71" t="n">
        <f aca="false">Calculos!$B$524*Calculos!$B$517*Calculos!$D$534</f>
        <v>2814.527979904</v>
      </c>
      <c r="E536" s="71" t="n">
        <f aca="false">Calculos!$B$524*Calculos!$B$517*Calculos!$E$534</f>
        <v>2898.96381930112</v>
      </c>
      <c r="F536" s="71" t="n">
        <f aca="false">Calculos!$B$524*Calculos!$B$517*Calculos!$F$534</f>
        <v>2985.93273388015</v>
      </c>
      <c r="G536" s="71" t="n">
        <f aca="false">Calculos!$B$524*Calculos!$B$517*Calculos!$G$534</f>
        <v>3075.51071589656</v>
      </c>
    </row>
    <row r="537" customFormat="false" ht="12.8" hidden="false" customHeight="false" outlineLevel="0" collapsed="false">
      <c r="A537" s="0" t="s">
        <v>249</v>
      </c>
      <c r="B537" s="72"/>
      <c r="C537" s="71" t="n">
        <f aca="false">Calculos!$C$533*Calculos!$C$535</f>
        <v>140162400</v>
      </c>
      <c r="D537" s="71" t="n">
        <f aca="false">Calculos!$D$533*Calculos!$D$535</f>
        <v>202114180.8</v>
      </c>
      <c r="E537" s="71" t="n">
        <f aca="false">Calculos!$E$533*Calculos!$E$535</f>
        <v>267656922.288</v>
      </c>
      <c r="F537" s="71" t="n">
        <f aca="false">Calculos!$F$533*Calculos!$F$535</f>
        <v>336950325.50256</v>
      </c>
      <c r="G537" s="71" t="n">
        <f aca="false">Calculos!$G$533*Calculos!$G$535</f>
        <v>378609638.473786</v>
      </c>
    </row>
    <row r="538" customFormat="false" ht="12.8" hidden="false" customHeight="false" outlineLevel="0" collapsed="false">
      <c r="A538" s="0" t="s">
        <v>250</v>
      </c>
      <c r="B538" s="72"/>
      <c r="C538" s="71" t="n">
        <f aca="false">Calculos!$C$533*Calculos!$C$536</f>
        <v>98371851.7248</v>
      </c>
      <c r="D538" s="71" t="n">
        <f aca="false">Calculos!$D$533*Calculos!$D$536</f>
        <v>141852210.187162</v>
      </c>
      <c r="E538" s="71" t="n">
        <f aca="false">Calculos!$E$533*Calculos!$E$536</f>
        <v>187852855.490713</v>
      </c>
      <c r="F538" s="71" t="n">
        <f aca="false">Calculos!$F$533*Calculos!$F$536</f>
        <v>236485872.523308</v>
      </c>
      <c r="G538" s="71" t="n">
        <f aca="false">Calculos!$G$533*Calculos!$G$536</f>
        <v>265724125.853463</v>
      </c>
    </row>
    <row r="539" customFormat="false" ht="12.8" hidden="false" customHeight="false" outlineLevel="0" collapsed="false">
      <c r="A539" s="0" t="s">
        <v>251</v>
      </c>
      <c r="B539" s="72"/>
      <c r="C539" s="71" t="n">
        <f aca="false">Calculos!$B$525*12*Calculos!$B$518*Calculos!$C$534</f>
        <v>50969179.2</v>
      </c>
      <c r="D539" s="71" t="n">
        <f aca="false">Calculos!$B$525*12*Calculos!$B$518*Calculos!$D$534</f>
        <v>52498254.576</v>
      </c>
      <c r="E539" s="71" t="n">
        <f aca="false">Calculos!$B$525*12*Calculos!$B$518*Calculos!$E$534</f>
        <v>54073202.21328</v>
      </c>
      <c r="F539" s="71" t="n">
        <f aca="false">Calculos!$B$525*12*Calculos!$B$518*Calculos!$F$534</f>
        <v>55695398.2796784</v>
      </c>
      <c r="G539" s="71" t="n">
        <f aca="false">Calculos!$B$525*12*Calculos!$B$518*Calculos!$G$534</f>
        <v>57366260.2280688</v>
      </c>
    </row>
    <row r="540" customFormat="false" ht="12.8" hidden="false" customHeight="false" outlineLevel="0" collapsed="false">
      <c r="A540" s="0" t="s">
        <v>252</v>
      </c>
      <c r="B540" s="72"/>
      <c r="C540" s="71" t="n">
        <f aca="false">Calculos!$C$537-Calculos!$C$538-Calculos!$C$539</f>
        <v>-9178630.92479999</v>
      </c>
      <c r="D540" s="71" t="n">
        <f aca="false">Calculos!$D$537-Calculos!$D$538-Calculos!$D$539</f>
        <v>7763716.03683839</v>
      </c>
      <c r="E540" s="71" t="n">
        <f aca="false">Calculos!$E$537-Calculos!$E$538-Calculos!$E$539</f>
        <v>25730864.5840074</v>
      </c>
      <c r="F540" s="71" t="n">
        <f aca="false">Calculos!$F$537-Calculos!$F$538-Calculos!$F$539</f>
        <v>44769054.6995734</v>
      </c>
      <c r="G540" s="71" t="n">
        <f aca="false">Calculos!$G$537-Calculos!$G$538-Calculos!$G$539</f>
        <v>55519252.3922543</v>
      </c>
    </row>
    <row r="541" customFormat="false" ht="12.8" hidden="false" customHeight="false" outlineLevel="0" collapsed="false">
      <c r="A541" s="0" t="s">
        <v>253</v>
      </c>
      <c r="B541" s="72"/>
      <c r="C541" s="71" t="n">
        <f aca="false">Calculos!$B$528</f>
        <v>5092306.7775</v>
      </c>
      <c r="D541" s="71" t="n">
        <f aca="false">Calculos!$B$528</f>
        <v>5092306.7775</v>
      </c>
      <c r="E541" s="71" t="n">
        <f aca="false">Calculos!$B$528</f>
        <v>5092306.7775</v>
      </c>
      <c r="F541" s="71" t="n">
        <f aca="false">Calculos!$B$528</f>
        <v>5092306.7775</v>
      </c>
      <c r="G541" s="71" t="n">
        <f aca="false">Calculos!$B$528</f>
        <v>5092306.7775</v>
      </c>
    </row>
    <row r="542" customFormat="false" ht="12.8" hidden="false" customHeight="false" outlineLevel="0" collapsed="false">
      <c r="A542" s="0" t="s">
        <v>254</v>
      </c>
      <c r="B542" s="72"/>
      <c r="C542" s="71" t="n">
        <f aca="false">Calculos!$C$540-Calculos!$C$541</f>
        <v>-14270937.7023</v>
      </c>
      <c r="D542" s="71" t="n">
        <f aca="false">Calculos!$D$540-Calculos!$D$541</f>
        <v>2671409.25933839</v>
      </c>
      <c r="E542" s="71" t="n">
        <f aca="false">Calculos!$E$540-Calculos!$E$541</f>
        <v>20638557.8065074</v>
      </c>
      <c r="F542" s="71" t="n">
        <f aca="false">Calculos!$F$540-Calculos!$F$541</f>
        <v>39676747.9220734</v>
      </c>
      <c r="G542" s="71" t="n">
        <f aca="false">Calculos!$G$540-Calculos!$G$541</f>
        <v>50426945.6147542</v>
      </c>
    </row>
    <row r="543" customFormat="false" ht="12.8" hidden="false" customHeight="false" outlineLevel="0" collapsed="false">
      <c r="A543" s="0" t="s">
        <v>255</v>
      </c>
      <c r="B543" s="72"/>
      <c r="C543" s="72" t="n">
        <f aca="false">0</f>
        <v>0</v>
      </c>
      <c r="D543" s="72" t="n">
        <f aca="false">Calculos!$C$546</f>
        <v>14270937.7023</v>
      </c>
      <c r="E543" s="72" t="n">
        <f aca="false">Calculos!$D$546</f>
        <v>11599528.4429616</v>
      </c>
      <c r="F543" s="72" t="n">
        <f aca="false">Calculos!$E$546</f>
        <v>0</v>
      </c>
      <c r="G543" s="72" t="n">
        <f aca="false">Calculos!$F$546</f>
        <v>0</v>
      </c>
    </row>
    <row r="544" customFormat="false" ht="12.8" hidden="false" customHeight="false" outlineLevel="0" collapsed="false">
      <c r="A544" s="0" t="s">
        <v>256</v>
      </c>
      <c r="B544" s="72"/>
      <c r="C544" s="72" t="n">
        <f aca="false">MAX(0,Calculos!$C$542-Calculos!$C$543)</f>
        <v>0</v>
      </c>
      <c r="D544" s="72" t="n">
        <f aca="false">MAX(0,Calculos!$D$542-Calculos!$D$543)</f>
        <v>0</v>
      </c>
      <c r="E544" s="72" t="n">
        <f aca="false">MAX(0,Calculos!$E$542-Calculos!$E$543)</f>
        <v>9039029.36354583</v>
      </c>
      <c r="F544" s="72" t="n">
        <f aca="false">MAX(0,Calculos!$F$542-Calculos!$F$543)</f>
        <v>39676747.9220734</v>
      </c>
      <c r="G544" s="72" t="n">
        <f aca="false">MAX(0,Calculos!$G$542-Calculos!$G$543)</f>
        <v>50426945.6147542</v>
      </c>
    </row>
    <row r="545" customFormat="false" ht="12.8" hidden="false" customHeight="false" outlineLevel="0" collapsed="false">
      <c r="A545" s="0" t="s">
        <v>257</v>
      </c>
      <c r="B545" s="72"/>
      <c r="C545" s="72" t="n">
        <f aca="false">Calculos!$C$544*Inputs!$C$19</f>
        <v>0</v>
      </c>
      <c r="D545" s="72" t="n">
        <f aca="false">Calculos!$D$544*Inputs!$C$20</f>
        <v>0</v>
      </c>
      <c r="E545" s="72" t="n">
        <f aca="false">Calculos!$E$544*Inputs!$C$21</f>
        <v>2259757.34088646</v>
      </c>
      <c r="F545" s="72" t="n">
        <f aca="false">Calculos!$F$544*Inputs!$C$22</f>
        <v>9919186.98051836</v>
      </c>
      <c r="G545" s="72" t="n">
        <f aca="false">Calculos!$G$544*Inputs!$C$23</f>
        <v>12606736.4036886</v>
      </c>
    </row>
    <row r="546" customFormat="false" ht="12.8" hidden="false" customHeight="false" outlineLevel="0" collapsed="false">
      <c r="A546" s="0" t="s">
        <v>258</v>
      </c>
      <c r="B546" s="72"/>
      <c r="C546" s="72" t="n">
        <f aca="false">MAX(0,Calculos!$C$543-Calculos!$C$542)</f>
        <v>14270937.7023</v>
      </c>
      <c r="D546" s="72" t="n">
        <f aca="false">MAX(0,Calculos!$D$543-Calculos!$D$542)</f>
        <v>11599528.4429616</v>
      </c>
      <c r="E546" s="72" t="n">
        <f aca="false">MAX(0,Calculos!$E$543-Calculos!$E$542)</f>
        <v>0</v>
      </c>
      <c r="F546" s="72" t="n">
        <f aca="false">MAX(0,Calculos!$F$543-Calculos!$F$542)</f>
        <v>0</v>
      </c>
      <c r="G546" s="72" t="n">
        <f aca="false">MAX(0,Calculos!$G$543-Calculos!$G$542)</f>
        <v>0</v>
      </c>
    </row>
    <row r="547" customFormat="false" ht="12.8" hidden="false" customHeight="false" outlineLevel="0" collapsed="false">
      <c r="A547" s="0" t="s">
        <v>259</v>
      </c>
      <c r="B547" s="72"/>
      <c r="C547" s="71" t="n">
        <f aca="false">Calculos!$C$537*Inputs!$C$48/365+Calculos!$C$538*Inputs!$C$49/365-Calculos!$C$538*Inputs!$C$50/365</f>
        <v>15562876.0982795</v>
      </c>
      <c r="D547" s="71" t="n">
        <f aca="false">Calculos!$D$537*Inputs!$C$48/365+Calculos!$D$538*Inputs!$C$49/365-Calculos!$D$538*Inputs!$C$50/365</f>
        <v>22441667.333719</v>
      </c>
      <c r="E547" s="71" t="n">
        <f aca="false">Calculos!$E$537*Inputs!$C$48/365+Calculos!$E$538*Inputs!$C$49/365-Calculos!$E$538*Inputs!$C$50/365</f>
        <v>29719179.4547964</v>
      </c>
      <c r="F547" s="71" t="n">
        <f aca="false">Calculos!$F$537*Inputs!$C$48/365+Calculos!$F$538*Inputs!$C$49/365-Calculos!$F$538*Inputs!$C$50/365</f>
        <v>37413144.8025382</v>
      </c>
      <c r="G547" s="71" t="n">
        <f aca="false">Calculos!$G$537*Inputs!$C$48/365+Calculos!$G$538*Inputs!$C$49/365-Calculos!$G$538*Inputs!$C$50/365</f>
        <v>42038769.9781247</v>
      </c>
    </row>
    <row r="548" customFormat="false" ht="12.8" hidden="false" customHeight="false" outlineLevel="0" collapsed="false">
      <c r="A548" s="0" t="s">
        <v>260</v>
      </c>
      <c r="B548" s="72"/>
      <c r="C548" s="71" t="n">
        <f aca="false">Calculos!$C$547-Calculos!$C$547</f>
        <v>0</v>
      </c>
      <c r="D548" s="71" t="n">
        <f aca="false">Calculos!$D$547-Calculos!$C$547</f>
        <v>6878791.23543952</v>
      </c>
      <c r="E548" s="71" t="n">
        <f aca="false">Calculos!$E$547-Calculos!$D$547</f>
        <v>7277512.12107744</v>
      </c>
      <c r="F548" s="71" t="n">
        <f aca="false">Calculos!$F$547-Calculos!$E$547</f>
        <v>7693965.34774174</v>
      </c>
      <c r="G548" s="71" t="n">
        <f aca="false">Calculos!$G$547-Calculos!$F$547</f>
        <v>4625625.17558654</v>
      </c>
    </row>
    <row r="549" customFormat="false" ht="12.8" hidden="false" customHeight="false" outlineLevel="0" collapsed="false">
      <c r="A549" s="0" t="s">
        <v>261</v>
      </c>
      <c r="B549" s="72"/>
      <c r="C549" s="72" t="n">
        <f aca="false">0</f>
        <v>0</v>
      </c>
      <c r="D549" s="72" t="n">
        <f aca="false">0</f>
        <v>0</v>
      </c>
      <c r="E549" s="72" t="n">
        <f aca="false">0</f>
        <v>0</v>
      </c>
      <c r="F549" s="72" t="n">
        <f aca="false">0</f>
        <v>0</v>
      </c>
      <c r="G549" s="71" t="n">
        <f aca="false">Calculos!$B$529*(1-Inputs!$C$23)+Calculos!$G$547+Calculos!$B$530</f>
        <v>45467825.0196872</v>
      </c>
    </row>
    <row r="550" customFormat="false" ht="12.8" hidden="false" customHeight="false" outlineLevel="0" collapsed="false">
      <c r="A550" s="0" t="s">
        <v>262</v>
      </c>
      <c r="B550" s="71" t="n">
        <f aca="false">-(Calculos!$B$527+Calculos!$B$530+Calculos!$C$547)</f>
        <v>-45043849.9857795</v>
      </c>
      <c r="C550" s="71" t="n">
        <f aca="false">Calculos!$C$540-Calculos!$C$545-Calculos!$C$548+Calculos!$C$549</f>
        <v>-9178630.92479999</v>
      </c>
      <c r="D550" s="71" t="n">
        <f aca="false">Calculos!$D$540-Calculos!$D$545-Calculos!$D$548+Calculos!$D$549</f>
        <v>884924.801398875</v>
      </c>
      <c r="E550" s="71" t="n">
        <f aca="false">Calculos!$E$540-Calculos!$E$545-Calculos!$E$548+Calculos!$E$549</f>
        <v>16193595.1220435</v>
      </c>
      <c r="F550" s="71" t="n">
        <f aca="false">Calculos!$F$540-Calculos!$F$545-Calculos!$F$548+Calculos!$F$549</f>
        <v>27155902.3713133</v>
      </c>
      <c r="G550" s="71" t="n">
        <f aca="false">Calculos!$G$540-Calculos!$G$545-Calculos!$G$548+Calculos!$G$549</f>
        <v>83754715.8326663</v>
      </c>
    </row>
    <row r="551" customFormat="false" ht="12.8" hidden="false" customHeight="false" outlineLevel="0" collapsed="false">
      <c r="A551" s="0" t="s">
        <v>263</v>
      </c>
      <c r="B551" s="72" t="n">
        <v>1</v>
      </c>
      <c r="C551" s="72" t="n">
        <f aca="false">1/(1+Inputs!$C$7)^1</f>
        <v>0.869565217391304</v>
      </c>
      <c r="D551" s="72" t="n">
        <f aca="false">1/(1+Inputs!$C$7)^2</f>
        <v>0.756143667296787</v>
      </c>
      <c r="E551" s="72" t="n">
        <f aca="false">1/(1+Inputs!$C$7)^3</f>
        <v>0.657516232431988</v>
      </c>
      <c r="F551" s="72" t="n">
        <f aca="false">1/(1+Inputs!$C$7)^4</f>
        <v>0.571753245593033</v>
      </c>
      <c r="G551" s="72" t="n">
        <f aca="false">1/(1+Inputs!$C$7)^5</f>
        <v>0.49717673529829</v>
      </c>
    </row>
    <row r="552" customFormat="false" ht="12.8" hidden="false" customHeight="false" outlineLevel="0" collapsed="false">
      <c r="A552" s="0" t="s">
        <v>264</v>
      </c>
      <c r="B552" s="71" t="n">
        <f aca="false">Calculos!$B$550</f>
        <v>-45043849.9857795</v>
      </c>
      <c r="C552" s="71" t="n">
        <f aca="false">Calculos!$C$550*Calculos!$C$551</f>
        <v>-7981418.19547826</v>
      </c>
      <c r="D552" s="71" t="n">
        <f aca="false">Calculos!$D$550*Calculos!$D$551</f>
        <v>669130.284611626</v>
      </c>
      <c r="E552" s="71" t="n">
        <f aca="false">Calculos!$E$550*Calculos!$E$551</f>
        <v>10647551.6541751</v>
      </c>
      <c r="F552" s="71" t="n">
        <f aca="false">Calculos!$F$550*Calculos!$F$551</f>
        <v>15526475.317806</v>
      </c>
      <c r="G552" s="71" t="n">
        <f aca="false">Calculos!$G$550*Calculos!$G$551</f>
        <v>41640896.183521</v>
      </c>
    </row>
    <row r="553" customFormat="false" ht="12.8" hidden="false" customHeight="false" outlineLevel="0" collapsed="false">
      <c r="A553" s="0" t="s">
        <v>265</v>
      </c>
      <c r="B553" s="71" t="n">
        <f aca="false">Calculos!$B$550</f>
        <v>-45043849.9857795</v>
      </c>
      <c r="C553" s="71" t="n">
        <f aca="false">Calculos!$B$553+Calculos!$C$550</f>
        <v>-54222480.9105794</v>
      </c>
      <c r="D553" s="71" t="n">
        <f aca="false">Calculos!$C$553+Calculos!$D$550</f>
        <v>-53337556.1091806</v>
      </c>
      <c r="E553" s="71" t="n">
        <f aca="false">Calculos!$D$553+Calculos!$E$550</f>
        <v>-37143960.987137</v>
      </c>
      <c r="F553" s="71" t="n">
        <f aca="false">Calculos!$E$553+Calculos!$F$550</f>
        <v>-9988058.6158237</v>
      </c>
      <c r="G553" s="71" t="n">
        <f aca="false">Calculos!$F$553+Calculos!$G$550</f>
        <v>73766657.2168426</v>
      </c>
    </row>
    <row r="554" customFormat="false" ht="12.8" hidden="false" customHeight="false" outlineLevel="0" collapsed="false">
      <c r="A554" s="0" t="s">
        <v>266</v>
      </c>
      <c r="B554" s="71" t="n">
        <f aca="false">Calculos!$B$552</f>
        <v>-45043849.9857795</v>
      </c>
      <c r="C554" s="71" t="n">
        <f aca="false">Calculos!$B$554+Calculos!$C$552</f>
        <v>-53025268.1812577</v>
      </c>
      <c r="D554" s="71" t="n">
        <f aca="false">Calculos!$C$554+Calculos!$D$552</f>
        <v>-52356137.8966461</v>
      </c>
      <c r="E554" s="71" t="n">
        <f aca="false">Calculos!$D$554+Calculos!$E$552</f>
        <v>-41708586.242471</v>
      </c>
      <c r="F554" s="71" t="n">
        <f aca="false">Calculos!$E$554+Calculos!$F$552</f>
        <v>-26182110.924665</v>
      </c>
      <c r="G554" s="71" t="n">
        <f aca="false">Calculos!$F$554+Calculos!$G$552</f>
        <v>15458785.258856</v>
      </c>
    </row>
    <row r="556" customFormat="false" ht="12.8" hidden="false" customHeight="false" outlineLevel="0" collapsed="false">
      <c r="A556" s="0" t="s">
        <v>3</v>
      </c>
      <c r="B556" s="72" t="n">
        <f aca="false">-Calculos!$B$550</f>
        <v>45043849.9857795</v>
      </c>
    </row>
    <row r="557" customFormat="false" ht="12.8" hidden="false" customHeight="false" outlineLevel="0" collapsed="false">
      <c r="A557" s="0" t="s">
        <v>7</v>
      </c>
      <c r="B557" s="71" t="n">
        <f aca="false">SUM(Calculos!$B$552:$G$552)</f>
        <v>15458785.258856</v>
      </c>
    </row>
    <row r="558" customFormat="false" ht="12.8" hidden="false" customHeight="false" outlineLevel="0" collapsed="false">
      <c r="A558" s="0" t="s">
        <v>9</v>
      </c>
      <c r="B558" s="73" t="n">
        <f aca="false">IFERROR(IRR(Calculos!$B$550:$G$550),-1)</f>
        <v>0.221049050345307</v>
      </c>
    </row>
    <row r="559" customFormat="false" ht="12.8" hidden="false" customHeight="false" outlineLevel="0" collapsed="false">
      <c r="A559" s="0" t="s">
        <v>10</v>
      </c>
      <c r="B559" s="0" t="n">
        <f aca="false">IFERROR(IF(Calculos!$C$554&gt;=0,0+(-Calculos!$B$554/Calculos!$C$552),IF(Calculos!$D$554&gt;=0,1+(-Calculos!$C$554/Calculos!$D$552),IF(Calculos!$E$554&gt;=0,2+(-Calculos!$D$554/Calculos!$E$552),IF(Calculos!$F$554&gt;=0,3+(-Calculos!$E$554/Calculos!$F$552),IF(Calculos!$G$554&gt;=0,4+(-Calculos!$F$554/Calculos!$G$552),NA()))))),99)</f>
        <v>4.62875954468594</v>
      </c>
    </row>
    <row r="560" customFormat="false" ht="12.8" hidden="false" customHeight="false" outlineLevel="0" collapsed="false">
      <c r="A560" s="0" t="s">
        <v>12</v>
      </c>
      <c r="B560" s="0" t="n">
        <f aca="false">(Calculos!$C$552+Calculos!$D$552+Calculos!$E$552+Calculos!$F$552+Calculos!$G$552)/(-Calculos!$B$550)</f>
        <v>1.34319413779542</v>
      </c>
    </row>
    <row r="561" customFormat="false" ht="12.8" hidden="false" customHeight="false" outlineLevel="0" collapsed="false">
      <c r="A561" s="0" t="s">
        <v>5</v>
      </c>
      <c r="B561" s="71" t="n">
        <f aca="false">-MIN(Calculos!$B$553:$G$553)</f>
        <v>54222480.9105794</v>
      </c>
    </row>
    <row r="562" customFormat="false" ht="12.8" hidden="false" customHeight="false" outlineLevel="0" collapsed="false">
      <c r="A562" s="0" t="s">
        <v>13</v>
      </c>
      <c r="B562" s="0" t="n">
        <f aca="false">IF((Calculos!$C$535-Calculos!$C$536)&gt;0,Calculos!$C$539/(Calculos!$C$535-Calculos!$C$536)/12,NA())</f>
        <v>3658.90240522977</v>
      </c>
    </row>
    <row r="565" customFormat="false" ht="12.8" hidden="false" customHeight="false" outlineLevel="0" collapsed="false">
      <c r="A565" s="69" t="s">
        <v>305</v>
      </c>
      <c r="B565" s="69"/>
      <c r="C565" s="69"/>
      <c r="D565" s="69"/>
      <c r="E565" s="69"/>
      <c r="F565" s="69"/>
      <c r="G565" s="69"/>
    </row>
    <row r="566" customFormat="false" ht="12.8" hidden="false" customHeight="false" outlineLevel="0" collapsed="false">
      <c r="A566" s="0" t="s">
        <v>248</v>
      </c>
      <c r="B566" s="0" t="n">
        <f aca="false">1</f>
        <v>1</v>
      </c>
    </row>
    <row r="567" customFormat="false" ht="12.8" hidden="false" customHeight="false" outlineLevel="0" collapsed="false">
      <c r="A567" s="0" t="s">
        <v>247</v>
      </c>
      <c r="B567" s="74" t="n">
        <f aca="false">Inputs!$C$87</f>
        <v>1.2</v>
      </c>
    </row>
    <row r="568" customFormat="false" ht="12.8" hidden="false" customHeight="false" outlineLevel="0" collapsed="false">
      <c r="A568" s="0" t="s">
        <v>280</v>
      </c>
      <c r="B568" s="0" t="n">
        <f aca="false">1</f>
        <v>1</v>
      </c>
    </row>
    <row r="569" customFormat="false" ht="12.8" hidden="false" customHeight="false" outlineLevel="0" collapsed="false">
      <c r="A569" s="0" t="s">
        <v>281</v>
      </c>
      <c r="B569" s="0" t="n">
        <f aca="false">1</f>
        <v>1</v>
      </c>
    </row>
    <row r="570" customFormat="false" ht="12.8" hidden="false" customHeight="false" outlineLevel="0" collapsed="false">
      <c r="A570" s="0" t="s">
        <v>282</v>
      </c>
      <c r="B570" s="0" t="n">
        <f aca="false">1</f>
        <v>1</v>
      </c>
    </row>
    <row r="572" customFormat="false" ht="12.8" hidden="false" customHeight="false" outlineLevel="0" collapsed="false">
      <c r="A572" s="0" t="s">
        <v>283</v>
      </c>
      <c r="B572" s="71" t="n">
        <f aca="false">Inputs!$C$52+Inputs!$C$53+Inputs!$C$54+Inputs!$C$55+Inputs!$C$56+Inputs!$C$57+Inputs!$C$58+Inputs!$C$59</f>
        <v>8817795</v>
      </c>
    </row>
    <row r="573" customFormat="false" ht="12.8" hidden="false" customHeight="false" outlineLevel="0" collapsed="false">
      <c r="A573" s="0" t="s">
        <v>284</v>
      </c>
      <c r="B573" s="71" t="n">
        <f aca="false">Calculos!$B$572*Inputs!$C$60</f>
        <v>1322669.25</v>
      </c>
    </row>
    <row r="574" customFormat="false" ht="12.8" hidden="false" customHeight="false" outlineLevel="0" collapsed="false">
      <c r="A574" s="0" t="s">
        <v>285</v>
      </c>
      <c r="B574" s="72" t="n">
        <f aca="false">IF(Inputs!$C$40&gt;0,Inputs!$C$40,Inputs!$C$38*Inputs!$C$39)</f>
        <v>759720</v>
      </c>
    </row>
    <row r="575" customFormat="false" ht="12.8" hidden="false" customHeight="false" outlineLevel="0" collapsed="false">
      <c r="A575" s="0" t="s">
        <v>286</v>
      </c>
      <c r="B575" s="71" t="n">
        <f aca="false">((Inputs!$C$25*Inputs!$C$34+Inputs!$C$26*Inputs!$C$35+Inputs!$C$27*Inputs!$C$36+Inputs!$C$28)*(1+Inputs!$C$32)+Inputs!$C$29+Inputs!$C$30+Inputs!$C$31)</f>
        <v>2652.96256</v>
      </c>
    </row>
    <row r="576" customFormat="false" ht="12.8" hidden="false" customHeight="false" outlineLevel="0" collapsed="false">
      <c r="A576" s="0" t="s">
        <v>287</v>
      </c>
      <c r="B576" s="71" t="n">
        <f aca="false">(Calculos!$B$574+Inputs!$C$41*Inputs!$C$42+Inputs!$C$43+Inputs!$C$44+Inputs!$C$45+Inputs!$C$46+Inputs!$C$47)</f>
        <v>4123720</v>
      </c>
    </row>
    <row r="577" customFormat="false" ht="12.8" hidden="false" customHeight="false" outlineLevel="0" collapsed="false">
      <c r="A577" s="0" t="s">
        <v>288</v>
      </c>
      <c r="B577" s="71" t="n">
        <f aca="false">(Calculos!$B$572+Calculos!$B$573+Inputs!$C$61)*(1+Inputs!$C$64)*Calculos!$B$570</f>
        <v>25461533.8875</v>
      </c>
    </row>
    <row r="578" customFormat="false" ht="12.8" hidden="false" customHeight="false" outlineLevel="0" collapsed="false">
      <c r="A578" s="0" t="s">
        <v>289</v>
      </c>
      <c r="B578" s="71" t="n">
        <f aca="false">Calculos!$B$577+(Inputs!$C$62+Inputs!$C$63)*Calculos!$B$570</f>
        <v>27961533.8875</v>
      </c>
    </row>
    <row r="579" customFormat="false" ht="12.8" hidden="false" customHeight="false" outlineLevel="0" collapsed="false">
      <c r="A579" s="0" t="s">
        <v>290</v>
      </c>
      <c r="B579" s="71" t="n">
        <f aca="false">Calculos!$B$577/Inputs!$C$66</f>
        <v>5092306.7775</v>
      </c>
    </row>
    <row r="580" customFormat="false" ht="12.8" hidden="false" customHeight="false" outlineLevel="0" collapsed="false">
      <c r="A580" s="0" t="s">
        <v>291</v>
      </c>
      <c r="B580" s="71" t="n">
        <f aca="false">Calculos!$B$577*Inputs!$C$67</f>
        <v>2546153.38875</v>
      </c>
    </row>
    <row r="581" customFormat="false" ht="12.8" hidden="false" customHeight="false" outlineLevel="0" collapsed="false">
      <c r="A581" s="0" t="s">
        <v>292</v>
      </c>
      <c r="B581" s="72" t="n">
        <f aca="false">Calculos!$B$574*Inputs!$C$65</f>
        <v>1519440</v>
      </c>
    </row>
    <row r="583" customFormat="false" ht="18.45" hidden="false" customHeight="true" outlineLevel="0" collapsed="false">
      <c r="A583" s="13" t="s">
        <v>226</v>
      </c>
      <c r="B583" s="13" t="s">
        <v>241</v>
      </c>
      <c r="C583" s="13" t="s">
        <v>242</v>
      </c>
      <c r="D583" s="13" t="s">
        <v>243</v>
      </c>
      <c r="E583" s="13" t="s">
        <v>244</v>
      </c>
      <c r="F583" s="13" t="s">
        <v>245</v>
      </c>
      <c r="G583" s="13" t="s">
        <v>246</v>
      </c>
    </row>
    <row r="584" customFormat="false" ht="12.8" hidden="false" customHeight="false" outlineLevel="0" collapsed="false">
      <c r="A584" s="0" t="s">
        <v>247</v>
      </c>
      <c r="C584" s="0" t="n">
        <f aca="false">Inputs!$C$13*Calculos!$B$567</f>
        <v>36000</v>
      </c>
      <c r="D584" s="0" t="n">
        <f aca="false">Inputs!$C$14*Calculos!$B$567</f>
        <v>50400</v>
      </c>
      <c r="E584" s="0" t="n">
        <f aca="false">Inputs!$C$15*Calculos!$B$567</f>
        <v>64800</v>
      </c>
      <c r="F584" s="0" t="n">
        <f aca="false">Inputs!$C$16*Calculos!$B$567</f>
        <v>79200</v>
      </c>
      <c r="G584" s="0" t="n">
        <f aca="false">Inputs!$C$17*Calculos!$B$567</f>
        <v>86400</v>
      </c>
    </row>
    <row r="585" customFormat="false" ht="12.8" hidden="false" customHeight="false" outlineLevel="0" collapsed="false">
      <c r="A585" s="0" t="s">
        <v>293</v>
      </c>
      <c r="C585" s="0" t="n">
        <f aca="false">(1+Inputs!$C$8)^1</f>
        <v>1.03</v>
      </c>
      <c r="D585" s="0" t="n">
        <f aca="false">(1+Inputs!$C$8)^2</f>
        <v>1.0609</v>
      </c>
      <c r="E585" s="0" t="n">
        <f aca="false">(1+Inputs!$C$8)^3</f>
        <v>1.092727</v>
      </c>
      <c r="F585" s="0" t="n">
        <f aca="false">(1+Inputs!$C$8)^4</f>
        <v>1.12550881</v>
      </c>
      <c r="G585" s="0" t="n">
        <f aca="false">(1+Inputs!$C$8)^5</f>
        <v>1.1592740743</v>
      </c>
    </row>
    <row r="586" customFormat="false" ht="12.8" hidden="false" customHeight="false" outlineLevel="0" collapsed="false">
      <c r="A586" s="0" t="s">
        <v>248</v>
      </c>
      <c r="B586" s="72"/>
      <c r="C586" s="71" t="n">
        <f aca="false">Inputs!$C$12*Calculos!$B$566*Calculos!$C$585</f>
        <v>4326</v>
      </c>
      <c r="D586" s="71" t="n">
        <f aca="false">Inputs!$C$12*Calculos!$B$566*Calculos!$D$585</f>
        <v>4455.78</v>
      </c>
      <c r="E586" s="71" t="n">
        <f aca="false">Inputs!$C$12*Calculos!$B$566*Calculos!$E$585</f>
        <v>4589.4534</v>
      </c>
      <c r="F586" s="71" t="n">
        <f aca="false">Inputs!$C$12*Calculos!$B$566*Calculos!$F$585</f>
        <v>4727.137002</v>
      </c>
      <c r="G586" s="71" t="n">
        <f aca="false">Inputs!$C$12*Calculos!$B$566*Calculos!$G$585</f>
        <v>4868.95111206</v>
      </c>
    </row>
    <row r="587" customFormat="false" ht="12.8" hidden="false" customHeight="false" outlineLevel="0" collapsed="false">
      <c r="A587" s="0" t="s">
        <v>294</v>
      </c>
      <c r="B587" s="72"/>
      <c r="C587" s="71" t="n">
        <f aca="false">Calculos!$B$575*Calculos!$B$568*Calculos!$C$585</f>
        <v>2732.5514368</v>
      </c>
      <c r="D587" s="71" t="n">
        <f aca="false">Calculos!$B$575*Calculos!$B$568*Calculos!$D$585</f>
        <v>2814.527979904</v>
      </c>
      <c r="E587" s="71" t="n">
        <f aca="false">Calculos!$B$575*Calculos!$B$568*Calculos!$E$585</f>
        <v>2898.96381930112</v>
      </c>
      <c r="F587" s="71" t="n">
        <f aca="false">Calculos!$B$575*Calculos!$B$568*Calculos!$F$585</f>
        <v>2985.93273388015</v>
      </c>
      <c r="G587" s="71" t="n">
        <f aca="false">Calculos!$B$575*Calculos!$B$568*Calculos!$G$585</f>
        <v>3075.51071589656</v>
      </c>
    </row>
    <row r="588" customFormat="false" ht="12.8" hidden="false" customHeight="false" outlineLevel="0" collapsed="false">
      <c r="A588" s="0" t="s">
        <v>249</v>
      </c>
      <c r="B588" s="72"/>
      <c r="C588" s="71" t="n">
        <f aca="false">Calculos!$C$584*Calculos!$C$586</f>
        <v>155736000</v>
      </c>
      <c r="D588" s="71" t="n">
        <f aca="false">Calculos!$D$584*Calculos!$D$586</f>
        <v>224571312</v>
      </c>
      <c r="E588" s="71" t="n">
        <f aca="false">Calculos!$E$584*Calculos!$E$586</f>
        <v>297396580.32</v>
      </c>
      <c r="F588" s="71" t="n">
        <f aca="false">Calculos!$F$584*Calculos!$F$586</f>
        <v>374389250.5584</v>
      </c>
      <c r="G588" s="71" t="n">
        <f aca="false">Calculos!$G$584*Calculos!$G$586</f>
        <v>420677376.081984</v>
      </c>
    </row>
    <row r="589" customFormat="false" ht="12.8" hidden="false" customHeight="false" outlineLevel="0" collapsed="false">
      <c r="A589" s="0" t="s">
        <v>250</v>
      </c>
      <c r="B589" s="72"/>
      <c r="C589" s="71" t="n">
        <f aca="false">Calculos!$C$584*Calculos!$C$587</f>
        <v>98371851.7248</v>
      </c>
      <c r="D589" s="71" t="n">
        <f aca="false">Calculos!$D$584*Calculos!$D$587</f>
        <v>141852210.187162</v>
      </c>
      <c r="E589" s="71" t="n">
        <f aca="false">Calculos!$E$584*Calculos!$E$587</f>
        <v>187852855.490713</v>
      </c>
      <c r="F589" s="71" t="n">
        <f aca="false">Calculos!$F$584*Calculos!$F$587</f>
        <v>236485872.523308</v>
      </c>
      <c r="G589" s="71" t="n">
        <f aca="false">Calculos!$G$584*Calculos!$G$587</f>
        <v>265724125.853463</v>
      </c>
    </row>
    <row r="590" customFormat="false" ht="12.8" hidden="false" customHeight="false" outlineLevel="0" collapsed="false">
      <c r="A590" s="0" t="s">
        <v>251</v>
      </c>
      <c r="B590" s="72"/>
      <c r="C590" s="71" t="n">
        <f aca="false">Calculos!$B$576*12*Calculos!$B$569*Calculos!$C$585</f>
        <v>50969179.2</v>
      </c>
      <c r="D590" s="71" t="n">
        <f aca="false">Calculos!$B$576*12*Calculos!$B$569*Calculos!$D$585</f>
        <v>52498254.576</v>
      </c>
      <c r="E590" s="71" t="n">
        <f aca="false">Calculos!$B$576*12*Calculos!$B$569*Calculos!$E$585</f>
        <v>54073202.21328</v>
      </c>
      <c r="F590" s="71" t="n">
        <f aca="false">Calculos!$B$576*12*Calculos!$B$569*Calculos!$F$585</f>
        <v>55695398.2796784</v>
      </c>
      <c r="G590" s="71" t="n">
        <f aca="false">Calculos!$B$576*12*Calculos!$B$569*Calculos!$G$585</f>
        <v>57366260.2280688</v>
      </c>
    </row>
    <row r="591" customFormat="false" ht="12.8" hidden="false" customHeight="false" outlineLevel="0" collapsed="false">
      <c r="A591" s="0" t="s">
        <v>252</v>
      </c>
      <c r="B591" s="72"/>
      <c r="C591" s="71" t="n">
        <f aca="false">Calculos!$C$588-Calculos!$C$589-Calculos!$C$590</f>
        <v>6394969.07520001</v>
      </c>
      <c r="D591" s="71" t="n">
        <f aca="false">Calculos!$D$588-Calculos!$D$589-Calculos!$D$590</f>
        <v>30220847.2368384</v>
      </c>
      <c r="E591" s="71" t="n">
        <f aca="false">Calculos!$E$588-Calculos!$E$589-Calculos!$E$590</f>
        <v>55470522.6160074</v>
      </c>
      <c r="F591" s="71" t="n">
        <f aca="false">Calculos!$F$588-Calculos!$F$589-Calculos!$F$590</f>
        <v>82207979.7554134</v>
      </c>
      <c r="G591" s="71" t="n">
        <f aca="false">Calculos!$G$588-Calculos!$G$589-Calculos!$G$590</f>
        <v>97586990.0004526</v>
      </c>
    </row>
    <row r="592" customFormat="false" ht="12.8" hidden="false" customHeight="false" outlineLevel="0" collapsed="false">
      <c r="A592" s="0" t="s">
        <v>253</v>
      </c>
      <c r="B592" s="72"/>
      <c r="C592" s="71" t="n">
        <f aca="false">Calculos!$B$579</f>
        <v>5092306.7775</v>
      </c>
      <c r="D592" s="71" t="n">
        <f aca="false">Calculos!$B$579</f>
        <v>5092306.7775</v>
      </c>
      <c r="E592" s="71" t="n">
        <f aca="false">Calculos!$B$579</f>
        <v>5092306.7775</v>
      </c>
      <c r="F592" s="71" t="n">
        <f aca="false">Calculos!$B$579</f>
        <v>5092306.7775</v>
      </c>
      <c r="G592" s="71" t="n">
        <f aca="false">Calculos!$B$579</f>
        <v>5092306.7775</v>
      </c>
    </row>
    <row r="593" customFormat="false" ht="12.8" hidden="false" customHeight="false" outlineLevel="0" collapsed="false">
      <c r="A593" s="0" t="s">
        <v>254</v>
      </c>
      <c r="B593" s="72"/>
      <c r="C593" s="71" t="n">
        <f aca="false">Calculos!$C$591-Calculos!$C$592</f>
        <v>1302662.29770001</v>
      </c>
      <c r="D593" s="71" t="n">
        <f aca="false">Calculos!$D$591-Calculos!$D$592</f>
        <v>25128540.4593384</v>
      </c>
      <c r="E593" s="71" t="n">
        <f aca="false">Calculos!$E$591-Calculos!$E$592</f>
        <v>50378215.8385074</v>
      </c>
      <c r="F593" s="71" t="n">
        <f aca="false">Calculos!$F$591-Calculos!$F$592</f>
        <v>77115672.9779134</v>
      </c>
      <c r="G593" s="71" t="n">
        <f aca="false">Calculos!$G$591-Calculos!$G$592</f>
        <v>92494683.2229526</v>
      </c>
    </row>
    <row r="594" customFormat="false" ht="12.8" hidden="false" customHeight="false" outlineLevel="0" collapsed="false">
      <c r="A594" s="0" t="s">
        <v>255</v>
      </c>
      <c r="B594" s="72"/>
      <c r="C594" s="72" t="n">
        <f aca="false">0</f>
        <v>0</v>
      </c>
      <c r="D594" s="72" t="n">
        <f aca="false">Calculos!$C$597</f>
        <v>0</v>
      </c>
      <c r="E594" s="72" t="n">
        <f aca="false">Calculos!$D$597</f>
        <v>0</v>
      </c>
      <c r="F594" s="72" t="n">
        <f aca="false">Calculos!$E$597</f>
        <v>0</v>
      </c>
      <c r="G594" s="72" t="n">
        <f aca="false">Calculos!$F$597</f>
        <v>0</v>
      </c>
    </row>
    <row r="595" customFormat="false" ht="12.8" hidden="false" customHeight="false" outlineLevel="0" collapsed="false">
      <c r="A595" s="0" t="s">
        <v>256</v>
      </c>
      <c r="B595" s="72"/>
      <c r="C595" s="72" t="n">
        <f aca="false">MAX(0,Calculos!$C$593-Calculos!$C$594)</f>
        <v>1302662.29770001</v>
      </c>
      <c r="D595" s="72" t="n">
        <f aca="false">MAX(0,Calculos!$D$593-Calculos!$D$594)</f>
        <v>25128540.4593384</v>
      </c>
      <c r="E595" s="72" t="n">
        <f aca="false">MAX(0,Calculos!$E$593-Calculos!$E$594)</f>
        <v>50378215.8385074</v>
      </c>
      <c r="F595" s="72" t="n">
        <f aca="false">MAX(0,Calculos!$F$593-Calculos!$F$594)</f>
        <v>77115672.9779134</v>
      </c>
      <c r="G595" s="72" t="n">
        <f aca="false">MAX(0,Calculos!$G$593-Calculos!$G$594)</f>
        <v>92494683.2229526</v>
      </c>
    </row>
    <row r="596" customFormat="false" ht="12.8" hidden="false" customHeight="false" outlineLevel="0" collapsed="false">
      <c r="A596" s="0" t="s">
        <v>257</v>
      </c>
      <c r="B596" s="72"/>
      <c r="C596" s="72" t="n">
        <f aca="false">Calculos!$C$595*Inputs!$C$19</f>
        <v>162832.787212501</v>
      </c>
      <c r="D596" s="72" t="n">
        <f aca="false">Calculos!$D$595*Inputs!$C$20</f>
        <v>3769281.06890076</v>
      </c>
      <c r="E596" s="72" t="n">
        <f aca="false">Calculos!$E$595*Inputs!$C$21</f>
        <v>12594553.9596269</v>
      </c>
      <c r="F596" s="72" t="n">
        <f aca="false">Calculos!$F$595*Inputs!$C$22</f>
        <v>19278918.2444784</v>
      </c>
      <c r="G596" s="72" t="n">
        <f aca="false">Calculos!$G$595*Inputs!$C$23</f>
        <v>23123670.8057381</v>
      </c>
    </row>
    <row r="597" customFormat="false" ht="12.8" hidden="false" customHeight="false" outlineLevel="0" collapsed="false">
      <c r="A597" s="0" t="s">
        <v>258</v>
      </c>
      <c r="B597" s="72"/>
      <c r="C597" s="72" t="n">
        <f aca="false">MAX(0,Calculos!$C$594-Calculos!$C$593)</f>
        <v>0</v>
      </c>
      <c r="D597" s="72" t="n">
        <f aca="false">MAX(0,Calculos!$D$594-Calculos!$D$593)</f>
        <v>0</v>
      </c>
      <c r="E597" s="72" t="n">
        <f aca="false">MAX(0,Calculos!$E$594-Calculos!$E$593)</f>
        <v>0</v>
      </c>
      <c r="F597" s="72" t="n">
        <f aca="false">MAX(0,Calculos!$F$594-Calculos!$F$593)</f>
        <v>0</v>
      </c>
      <c r="G597" s="72" t="n">
        <f aca="false">MAX(0,Calculos!$G$594-Calculos!$G$593)</f>
        <v>0</v>
      </c>
    </row>
    <row r="598" customFormat="false" ht="12.8" hidden="false" customHeight="false" outlineLevel="0" collapsed="false">
      <c r="A598" s="0" t="s">
        <v>259</v>
      </c>
      <c r="B598" s="72"/>
      <c r="C598" s="71" t="n">
        <f aca="false">Calculos!$C$588*Inputs!$C$48/365+Calculos!$C$589*Inputs!$C$49/365-Calculos!$C$589*Inputs!$C$50/365</f>
        <v>16842898.0160877</v>
      </c>
      <c r="D598" s="71" t="n">
        <f aca="false">Calculos!$D$588*Inputs!$C$48/365+Calculos!$D$589*Inputs!$C$49/365-Calculos!$D$589*Inputs!$C$50/365</f>
        <v>24287458.9391984</v>
      </c>
      <c r="E598" s="71" t="n">
        <f aca="false">Calculos!$E$588*Inputs!$C$48/365+Calculos!$E$589*Inputs!$C$49/365-Calculos!$E$589*Inputs!$C$50/365</f>
        <v>32163534.9094813</v>
      </c>
      <c r="F598" s="71" t="n">
        <f aca="false">Calculos!$F$588*Inputs!$C$48/365+Calculos!$F$589*Inputs!$C$49/365-Calculos!$F$589*Inputs!$C$50/365</f>
        <v>40490316.724936</v>
      </c>
      <c r="G598" s="71" t="n">
        <f aca="false">Calculos!$G$588*Inputs!$C$48/365+Calculos!$G$589*Inputs!$C$49/365-Calculos!$G$589*Inputs!$C$50/365</f>
        <v>45496392.2472917</v>
      </c>
    </row>
    <row r="599" customFormat="false" ht="12.8" hidden="false" customHeight="false" outlineLevel="0" collapsed="false">
      <c r="A599" s="0" t="s">
        <v>260</v>
      </c>
      <c r="B599" s="72"/>
      <c r="C599" s="71" t="n">
        <f aca="false">Calculos!$C$598-Calculos!$C$598</f>
        <v>0</v>
      </c>
      <c r="D599" s="71" t="n">
        <f aca="false">Calculos!$D$598-Calculos!$C$598</f>
        <v>7444560.92311075</v>
      </c>
      <c r="E599" s="71" t="n">
        <f aca="false">Calculos!$E$598-Calculos!$D$598</f>
        <v>7876075.97028292</v>
      </c>
      <c r="F599" s="71" t="n">
        <f aca="false">Calculos!$F$598-Calculos!$E$598</f>
        <v>8326781.81545461</v>
      </c>
      <c r="G599" s="71" t="n">
        <f aca="false">Calculos!$G$598-Calculos!$F$598</f>
        <v>5006075.52235571</v>
      </c>
    </row>
    <row r="600" customFormat="false" ht="12.8" hidden="false" customHeight="false" outlineLevel="0" collapsed="false">
      <c r="A600" s="0" t="s">
        <v>261</v>
      </c>
      <c r="B600" s="72"/>
      <c r="C600" s="72" t="n">
        <f aca="false">0</f>
        <v>0</v>
      </c>
      <c r="D600" s="72" t="n">
        <f aca="false">0</f>
        <v>0</v>
      </c>
      <c r="E600" s="72" t="n">
        <f aca="false">0</f>
        <v>0</v>
      </c>
      <c r="F600" s="72" t="n">
        <f aca="false">0</f>
        <v>0</v>
      </c>
      <c r="G600" s="71" t="n">
        <f aca="false">Calculos!$B$580*(1-Inputs!$C$23)+Calculos!$G$598+Calculos!$B$581</f>
        <v>48925447.2888542</v>
      </c>
    </row>
    <row r="601" customFormat="false" ht="12.8" hidden="false" customHeight="false" outlineLevel="0" collapsed="false">
      <c r="A601" s="0" t="s">
        <v>262</v>
      </c>
      <c r="B601" s="71" t="n">
        <f aca="false">-(Calculos!$B$578+Calculos!$B$581+Calculos!$C$598)</f>
        <v>-46323871.9035877</v>
      </c>
      <c r="C601" s="71" t="n">
        <f aca="false">Calculos!$C$591-Calculos!$C$596-Calculos!$C$599+Calculos!$C$600</f>
        <v>6232136.28798751</v>
      </c>
      <c r="D601" s="71" t="n">
        <f aca="false">Calculos!$D$591-Calculos!$D$596-Calculos!$D$599+Calculos!$D$600</f>
        <v>19007005.2448269</v>
      </c>
      <c r="E601" s="71" t="n">
        <f aca="false">Calculos!$E$591-Calculos!$E$596-Calculos!$E$599+Calculos!$E$600</f>
        <v>34999892.6860976</v>
      </c>
      <c r="F601" s="71" t="n">
        <f aca="false">Calculos!$F$591-Calculos!$F$596-Calculos!$F$599+Calculos!$F$600</f>
        <v>54602279.6954805</v>
      </c>
      <c r="G601" s="71" t="n">
        <f aca="false">Calculos!$G$591-Calculos!$G$596-Calculos!$G$599+Calculos!$G$600</f>
        <v>118382690.961213</v>
      </c>
    </row>
    <row r="602" customFormat="false" ht="12.8" hidden="false" customHeight="false" outlineLevel="0" collapsed="false">
      <c r="A602" s="0" t="s">
        <v>263</v>
      </c>
      <c r="B602" s="72" t="n">
        <v>1</v>
      </c>
      <c r="C602" s="72" t="n">
        <f aca="false">1/(1+Inputs!$C$7)^1</f>
        <v>0.869565217391304</v>
      </c>
      <c r="D602" s="72" t="n">
        <f aca="false">1/(1+Inputs!$C$7)^2</f>
        <v>0.756143667296787</v>
      </c>
      <c r="E602" s="72" t="n">
        <f aca="false">1/(1+Inputs!$C$7)^3</f>
        <v>0.657516232431988</v>
      </c>
      <c r="F602" s="72" t="n">
        <f aca="false">1/(1+Inputs!$C$7)^4</f>
        <v>0.571753245593033</v>
      </c>
      <c r="G602" s="72" t="n">
        <f aca="false">1/(1+Inputs!$C$7)^5</f>
        <v>0.49717673529829</v>
      </c>
    </row>
    <row r="603" customFormat="false" ht="12.8" hidden="false" customHeight="false" outlineLevel="0" collapsed="false">
      <c r="A603" s="0" t="s">
        <v>264</v>
      </c>
      <c r="B603" s="71" t="n">
        <f aca="false">Calculos!$B$601</f>
        <v>-46323871.9035877</v>
      </c>
      <c r="C603" s="71" t="n">
        <f aca="false">Calculos!$C$601*Calculos!$C$602</f>
        <v>5419248.94607609</v>
      </c>
      <c r="D603" s="71" t="n">
        <f aca="false">Calculos!$D$601*Calculos!$D$602</f>
        <v>14372026.6501527</v>
      </c>
      <c r="E603" s="71" t="n">
        <f aca="false">Calculos!$E$601*Calculos!$E$602</f>
        <v>23012997.5744868</v>
      </c>
      <c r="F603" s="71" t="n">
        <f aca="false">Calculos!$F$601*Calculos!$F$602</f>
        <v>31219030.6326695</v>
      </c>
      <c r="G603" s="71" t="n">
        <f aca="false">Calculos!$G$601*Calculos!$G$602</f>
        <v>58857119.8079222</v>
      </c>
    </row>
    <row r="604" customFormat="false" ht="12.8" hidden="false" customHeight="false" outlineLevel="0" collapsed="false">
      <c r="A604" s="0" t="s">
        <v>265</v>
      </c>
      <c r="B604" s="71" t="n">
        <f aca="false">Calculos!$B$601</f>
        <v>-46323871.9035877</v>
      </c>
      <c r="C604" s="71" t="n">
        <f aca="false">Calculos!$B$604+Calculos!$C$601</f>
        <v>-40091735.6156002</v>
      </c>
      <c r="D604" s="71" t="n">
        <f aca="false">Calculos!$C$604+Calculos!$D$601</f>
        <v>-21084730.3707733</v>
      </c>
      <c r="E604" s="71" t="n">
        <f aca="false">Calculos!$D$604+Calculos!$E$601</f>
        <v>13915162.3153244</v>
      </c>
      <c r="F604" s="71" t="n">
        <f aca="false">Calculos!$E$604+Calculos!$F$601</f>
        <v>68517442.0108048</v>
      </c>
      <c r="G604" s="71" t="n">
        <f aca="false">Calculos!$F$604+Calculos!$G$601</f>
        <v>186900132.972018</v>
      </c>
    </row>
    <row r="605" customFormat="false" ht="12.8" hidden="false" customHeight="false" outlineLevel="0" collapsed="false">
      <c r="A605" s="0" t="s">
        <v>266</v>
      </c>
      <c r="B605" s="71" t="n">
        <f aca="false">Calculos!$B$603</f>
        <v>-46323871.9035877</v>
      </c>
      <c r="C605" s="71" t="n">
        <f aca="false">Calculos!$B$605+Calculos!$C$603</f>
        <v>-40904622.9575116</v>
      </c>
      <c r="D605" s="71" t="n">
        <f aca="false">Calculos!$C$605+Calculos!$D$603</f>
        <v>-26532596.3073589</v>
      </c>
      <c r="E605" s="71" t="n">
        <f aca="false">Calculos!$D$605+Calculos!$E$603</f>
        <v>-3519598.73287208</v>
      </c>
      <c r="F605" s="71" t="n">
        <f aca="false">Calculos!$E$605+Calculos!$F$603</f>
        <v>27699431.8997975</v>
      </c>
      <c r="G605" s="71" t="n">
        <f aca="false">Calculos!$F$605+Calculos!$G$603</f>
        <v>86556551.7077197</v>
      </c>
    </row>
    <row r="607" customFormat="false" ht="12.8" hidden="false" customHeight="false" outlineLevel="0" collapsed="false">
      <c r="A607" s="0" t="s">
        <v>3</v>
      </c>
      <c r="B607" s="72" t="n">
        <f aca="false">-Calculos!$B$601</f>
        <v>46323871.9035877</v>
      </c>
    </row>
    <row r="608" customFormat="false" ht="12.8" hidden="false" customHeight="false" outlineLevel="0" collapsed="false">
      <c r="A608" s="0" t="s">
        <v>7</v>
      </c>
      <c r="B608" s="71" t="n">
        <f aca="false">SUM(Calculos!$B$603:$G$603)</f>
        <v>86556551.7077197</v>
      </c>
    </row>
    <row r="609" customFormat="false" ht="12.8" hidden="false" customHeight="false" outlineLevel="0" collapsed="false">
      <c r="A609" s="0" t="s">
        <v>9</v>
      </c>
      <c r="B609" s="73" t="n">
        <f aca="false">IFERROR(IRR(Calculos!$B$601:$G$601),-1)</f>
        <v>0.527385665349485</v>
      </c>
    </row>
    <row r="610" customFormat="false" ht="12.8" hidden="false" customHeight="false" outlineLevel="0" collapsed="false">
      <c r="A610" s="0" t="s">
        <v>10</v>
      </c>
      <c r="B610" s="0" t="n">
        <f aca="false">IFERROR(IF(Calculos!$C$605&gt;=0,0+(-Calculos!$B$605/Calculos!$C$603),IF(Calculos!$D$605&gt;=0,1+(-Calculos!$C$605/Calculos!$D$603),IF(Calculos!$E$605&gt;=0,2+(-Calculos!$D$605/Calculos!$E$603),IF(Calculos!$F$605&gt;=0,3+(-Calculos!$E$605/Calculos!$F$603),IF(Calculos!$G$605&gt;=0,4+(-Calculos!$F$605/Calculos!$G$603),NA()))))),99)</f>
        <v>3.11273888591496</v>
      </c>
    </row>
    <row r="611" customFormat="false" ht="12.8" hidden="false" customHeight="false" outlineLevel="0" collapsed="false">
      <c r="A611" s="0" t="s">
        <v>12</v>
      </c>
      <c r="B611" s="0" t="n">
        <f aca="false">(Calculos!$C$603+Calculos!$D$603+Calculos!$E$603+Calculos!$F$603+Calculos!$G$603)/(-Calculos!$B$601)</f>
        <v>2.86850857130136</v>
      </c>
    </row>
    <row r="612" customFormat="false" ht="12.8" hidden="false" customHeight="false" outlineLevel="0" collapsed="false">
      <c r="A612" s="0" t="s">
        <v>5</v>
      </c>
      <c r="B612" s="71" t="n">
        <f aca="false">-MIN(Calculos!$B$604:$G$604)</f>
        <v>46323871.9035877</v>
      </c>
    </row>
    <row r="613" customFormat="false" ht="12.8" hidden="false" customHeight="false" outlineLevel="0" collapsed="false">
      <c r="A613" s="0" t="s">
        <v>13</v>
      </c>
      <c r="B613" s="0" t="n">
        <f aca="false">IF((Calculos!$C$586-Calculos!$C$587)&gt;0,Calculos!$C$590/(Calculos!$C$586-Calculos!$C$587)/12,NA())</f>
        <v>2665.5592769623</v>
      </c>
    </row>
    <row r="616" customFormat="false" ht="12.8" hidden="false" customHeight="false" outlineLevel="0" collapsed="false">
      <c r="A616" s="69" t="s">
        <v>306</v>
      </c>
      <c r="B616" s="69"/>
      <c r="C616" s="69"/>
      <c r="D616" s="69"/>
      <c r="E616" s="69"/>
      <c r="F616" s="69"/>
      <c r="G616" s="69"/>
    </row>
    <row r="617" customFormat="false" ht="12.8" hidden="false" customHeight="false" outlineLevel="0" collapsed="false">
      <c r="A617" s="0" t="s">
        <v>248</v>
      </c>
      <c r="B617" s="74" t="n">
        <f aca="false">Inputs!$C$85</f>
        <v>1.1</v>
      </c>
    </row>
    <row r="618" customFormat="false" ht="12.8" hidden="false" customHeight="false" outlineLevel="0" collapsed="false">
      <c r="A618" s="0" t="s">
        <v>247</v>
      </c>
      <c r="B618" s="74" t="n">
        <f aca="false">Inputs!$C$87</f>
        <v>1.2</v>
      </c>
    </row>
    <row r="619" customFormat="false" ht="12.8" hidden="false" customHeight="false" outlineLevel="0" collapsed="false">
      <c r="A619" s="0" t="s">
        <v>280</v>
      </c>
      <c r="B619" s="0" t="n">
        <f aca="false">1</f>
        <v>1</v>
      </c>
    </row>
    <row r="620" customFormat="false" ht="12.8" hidden="false" customHeight="false" outlineLevel="0" collapsed="false">
      <c r="A620" s="0" t="s">
        <v>281</v>
      </c>
      <c r="B620" s="0" t="n">
        <f aca="false">1</f>
        <v>1</v>
      </c>
    </row>
    <row r="621" customFormat="false" ht="12.8" hidden="false" customHeight="false" outlineLevel="0" collapsed="false">
      <c r="A621" s="0" t="s">
        <v>282</v>
      </c>
      <c r="B621" s="0" t="n">
        <f aca="false">1</f>
        <v>1</v>
      </c>
    </row>
    <row r="623" customFormat="false" ht="12.8" hidden="false" customHeight="false" outlineLevel="0" collapsed="false">
      <c r="A623" s="0" t="s">
        <v>283</v>
      </c>
      <c r="B623" s="71" t="n">
        <f aca="false">Inputs!$C$52+Inputs!$C$53+Inputs!$C$54+Inputs!$C$55+Inputs!$C$56+Inputs!$C$57+Inputs!$C$58+Inputs!$C$59</f>
        <v>8817795</v>
      </c>
    </row>
    <row r="624" customFormat="false" ht="12.8" hidden="false" customHeight="false" outlineLevel="0" collapsed="false">
      <c r="A624" s="0" t="s">
        <v>284</v>
      </c>
      <c r="B624" s="71" t="n">
        <f aca="false">Calculos!$B$623*Inputs!$C$60</f>
        <v>1322669.25</v>
      </c>
    </row>
    <row r="625" customFormat="false" ht="12.8" hidden="false" customHeight="false" outlineLevel="0" collapsed="false">
      <c r="A625" s="0" t="s">
        <v>285</v>
      </c>
      <c r="B625" s="72" t="n">
        <f aca="false">IF(Inputs!$C$40&gt;0,Inputs!$C$40,Inputs!$C$38*Inputs!$C$39)</f>
        <v>759720</v>
      </c>
    </row>
    <row r="626" customFormat="false" ht="12.8" hidden="false" customHeight="false" outlineLevel="0" collapsed="false">
      <c r="A626" s="0" t="s">
        <v>286</v>
      </c>
      <c r="B626" s="71" t="n">
        <f aca="false">((Inputs!$C$25*Inputs!$C$34+Inputs!$C$26*Inputs!$C$35+Inputs!$C$27*Inputs!$C$36+Inputs!$C$28)*(1+Inputs!$C$32)+Inputs!$C$29+Inputs!$C$30+Inputs!$C$31)</f>
        <v>2652.96256</v>
      </c>
    </row>
    <row r="627" customFormat="false" ht="12.8" hidden="false" customHeight="false" outlineLevel="0" collapsed="false">
      <c r="A627" s="0" t="s">
        <v>287</v>
      </c>
      <c r="B627" s="71" t="n">
        <f aca="false">(Calculos!$B$625+Inputs!$C$41*Inputs!$C$42+Inputs!$C$43+Inputs!$C$44+Inputs!$C$45+Inputs!$C$46+Inputs!$C$47)</f>
        <v>4123720</v>
      </c>
    </row>
    <row r="628" customFormat="false" ht="12.8" hidden="false" customHeight="false" outlineLevel="0" collapsed="false">
      <c r="A628" s="0" t="s">
        <v>288</v>
      </c>
      <c r="B628" s="71" t="n">
        <f aca="false">(Calculos!$B$623+Calculos!$B$624+Inputs!$C$61)*(1+Inputs!$C$64)*Calculos!$B$621</f>
        <v>25461533.8875</v>
      </c>
    </row>
    <row r="629" customFormat="false" ht="12.8" hidden="false" customHeight="false" outlineLevel="0" collapsed="false">
      <c r="A629" s="0" t="s">
        <v>289</v>
      </c>
      <c r="B629" s="71" t="n">
        <f aca="false">Calculos!$B$628+(Inputs!$C$62+Inputs!$C$63)*Calculos!$B$621</f>
        <v>27961533.8875</v>
      </c>
    </row>
    <row r="630" customFormat="false" ht="12.8" hidden="false" customHeight="false" outlineLevel="0" collapsed="false">
      <c r="A630" s="0" t="s">
        <v>290</v>
      </c>
      <c r="B630" s="71" t="n">
        <f aca="false">Calculos!$B$628/Inputs!$C$66</f>
        <v>5092306.7775</v>
      </c>
    </row>
    <row r="631" customFormat="false" ht="12.8" hidden="false" customHeight="false" outlineLevel="0" collapsed="false">
      <c r="A631" s="0" t="s">
        <v>291</v>
      </c>
      <c r="B631" s="71" t="n">
        <f aca="false">Calculos!$B$628*Inputs!$C$67</f>
        <v>2546153.38875</v>
      </c>
    </row>
    <row r="632" customFormat="false" ht="12.8" hidden="false" customHeight="false" outlineLevel="0" collapsed="false">
      <c r="A632" s="0" t="s">
        <v>292</v>
      </c>
      <c r="B632" s="72" t="n">
        <f aca="false">Calculos!$B$625*Inputs!$C$65</f>
        <v>1519440</v>
      </c>
    </row>
    <row r="634" customFormat="false" ht="18.45" hidden="false" customHeight="true" outlineLevel="0" collapsed="false">
      <c r="A634" s="13" t="s">
        <v>226</v>
      </c>
      <c r="B634" s="13" t="s">
        <v>241</v>
      </c>
      <c r="C634" s="13" t="s">
        <v>242</v>
      </c>
      <c r="D634" s="13" t="s">
        <v>243</v>
      </c>
      <c r="E634" s="13" t="s">
        <v>244</v>
      </c>
      <c r="F634" s="13" t="s">
        <v>245</v>
      </c>
      <c r="G634" s="13" t="s">
        <v>246</v>
      </c>
    </row>
    <row r="635" customFormat="false" ht="12.8" hidden="false" customHeight="false" outlineLevel="0" collapsed="false">
      <c r="A635" s="0" t="s">
        <v>247</v>
      </c>
      <c r="C635" s="0" t="n">
        <f aca="false">Inputs!$C$13*Calculos!$B$618</f>
        <v>36000</v>
      </c>
      <c r="D635" s="0" t="n">
        <f aca="false">Inputs!$C$14*Calculos!$B$618</f>
        <v>50400</v>
      </c>
      <c r="E635" s="0" t="n">
        <f aca="false">Inputs!$C$15*Calculos!$B$618</f>
        <v>64800</v>
      </c>
      <c r="F635" s="0" t="n">
        <f aca="false">Inputs!$C$16*Calculos!$B$618</f>
        <v>79200</v>
      </c>
      <c r="G635" s="0" t="n">
        <f aca="false">Inputs!$C$17*Calculos!$B$618</f>
        <v>86400</v>
      </c>
    </row>
    <row r="636" customFormat="false" ht="12.8" hidden="false" customHeight="false" outlineLevel="0" collapsed="false">
      <c r="A636" s="0" t="s">
        <v>293</v>
      </c>
      <c r="C636" s="0" t="n">
        <f aca="false">(1+Inputs!$C$8)^1</f>
        <v>1.03</v>
      </c>
      <c r="D636" s="0" t="n">
        <f aca="false">(1+Inputs!$C$8)^2</f>
        <v>1.0609</v>
      </c>
      <c r="E636" s="0" t="n">
        <f aca="false">(1+Inputs!$C$8)^3</f>
        <v>1.092727</v>
      </c>
      <c r="F636" s="0" t="n">
        <f aca="false">(1+Inputs!$C$8)^4</f>
        <v>1.12550881</v>
      </c>
      <c r="G636" s="0" t="n">
        <f aca="false">(1+Inputs!$C$8)^5</f>
        <v>1.1592740743</v>
      </c>
    </row>
    <row r="637" customFormat="false" ht="12.8" hidden="false" customHeight="false" outlineLevel="0" collapsed="false">
      <c r="A637" s="0" t="s">
        <v>248</v>
      </c>
      <c r="B637" s="72"/>
      <c r="C637" s="71" t="n">
        <f aca="false">Inputs!$C$12*Calculos!$B$617*Calculos!$C$636</f>
        <v>4758.6</v>
      </c>
      <c r="D637" s="71" t="n">
        <f aca="false">Inputs!$C$12*Calculos!$B$617*Calculos!$D$636</f>
        <v>4901.358</v>
      </c>
      <c r="E637" s="71" t="n">
        <f aca="false">Inputs!$C$12*Calculos!$B$617*Calculos!$E$636</f>
        <v>5048.39874</v>
      </c>
      <c r="F637" s="71" t="n">
        <f aca="false">Inputs!$C$12*Calculos!$B$617*Calculos!$F$636</f>
        <v>5199.8507022</v>
      </c>
      <c r="G637" s="71" t="n">
        <f aca="false">Inputs!$C$12*Calculos!$B$617*Calculos!$G$636</f>
        <v>5355.846223266</v>
      </c>
    </row>
    <row r="638" customFormat="false" ht="12.8" hidden="false" customHeight="false" outlineLevel="0" collapsed="false">
      <c r="A638" s="0" t="s">
        <v>294</v>
      </c>
      <c r="B638" s="72"/>
      <c r="C638" s="71" t="n">
        <f aca="false">Calculos!$B$626*Calculos!$B$619*Calculos!$C$636</f>
        <v>2732.5514368</v>
      </c>
      <c r="D638" s="71" t="n">
        <f aca="false">Calculos!$B$626*Calculos!$B$619*Calculos!$D$636</f>
        <v>2814.527979904</v>
      </c>
      <c r="E638" s="71" t="n">
        <f aca="false">Calculos!$B$626*Calculos!$B$619*Calculos!$E$636</f>
        <v>2898.96381930112</v>
      </c>
      <c r="F638" s="71" t="n">
        <f aca="false">Calculos!$B$626*Calculos!$B$619*Calculos!$F$636</f>
        <v>2985.93273388015</v>
      </c>
      <c r="G638" s="71" t="n">
        <f aca="false">Calculos!$B$626*Calculos!$B$619*Calculos!$G$636</f>
        <v>3075.51071589656</v>
      </c>
    </row>
    <row r="639" customFormat="false" ht="12.8" hidden="false" customHeight="false" outlineLevel="0" collapsed="false">
      <c r="A639" s="0" t="s">
        <v>249</v>
      </c>
      <c r="B639" s="72"/>
      <c r="C639" s="71" t="n">
        <f aca="false">Calculos!$C$635*Calculos!$C$637</f>
        <v>171309600</v>
      </c>
      <c r="D639" s="71" t="n">
        <f aca="false">Calculos!$D$635*Calculos!$D$637</f>
        <v>247028443.2</v>
      </c>
      <c r="E639" s="71" t="n">
        <f aca="false">Calculos!$E$635*Calculos!$E$637</f>
        <v>327136238.352</v>
      </c>
      <c r="F639" s="71" t="n">
        <f aca="false">Calculos!$F$635*Calculos!$F$637</f>
        <v>411828175.61424</v>
      </c>
      <c r="G639" s="71" t="n">
        <f aca="false">Calculos!$G$635*Calculos!$G$637</f>
        <v>462745113.690182</v>
      </c>
    </row>
    <row r="640" customFormat="false" ht="12.8" hidden="false" customHeight="false" outlineLevel="0" collapsed="false">
      <c r="A640" s="0" t="s">
        <v>250</v>
      </c>
      <c r="B640" s="72"/>
      <c r="C640" s="71" t="n">
        <f aca="false">Calculos!$C$635*Calculos!$C$638</f>
        <v>98371851.7248</v>
      </c>
      <c r="D640" s="71" t="n">
        <f aca="false">Calculos!$D$635*Calculos!$D$638</f>
        <v>141852210.187162</v>
      </c>
      <c r="E640" s="71" t="n">
        <f aca="false">Calculos!$E$635*Calculos!$E$638</f>
        <v>187852855.490713</v>
      </c>
      <c r="F640" s="71" t="n">
        <f aca="false">Calculos!$F$635*Calculos!$F$638</f>
        <v>236485872.523308</v>
      </c>
      <c r="G640" s="71" t="n">
        <f aca="false">Calculos!$G$635*Calculos!$G$638</f>
        <v>265724125.853463</v>
      </c>
    </row>
    <row r="641" customFormat="false" ht="12.8" hidden="false" customHeight="false" outlineLevel="0" collapsed="false">
      <c r="A641" s="0" t="s">
        <v>251</v>
      </c>
      <c r="B641" s="72"/>
      <c r="C641" s="71" t="n">
        <f aca="false">Calculos!$B$627*12*Calculos!$B$620*Calculos!$C$636</f>
        <v>50969179.2</v>
      </c>
      <c r="D641" s="71" t="n">
        <f aca="false">Calculos!$B$627*12*Calculos!$B$620*Calculos!$D$636</f>
        <v>52498254.576</v>
      </c>
      <c r="E641" s="71" t="n">
        <f aca="false">Calculos!$B$627*12*Calculos!$B$620*Calculos!$E$636</f>
        <v>54073202.21328</v>
      </c>
      <c r="F641" s="71" t="n">
        <f aca="false">Calculos!$B$627*12*Calculos!$B$620*Calculos!$F$636</f>
        <v>55695398.2796784</v>
      </c>
      <c r="G641" s="71" t="n">
        <f aca="false">Calculos!$B$627*12*Calculos!$B$620*Calculos!$G$636</f>
        <v>57366260.2280688</v>
      </c>
    </row>
    <row r="642" customFormat="false" ht="12.8" hidden="false" customHeight="false" outlineLevel="0" collapsed="false">
      <c r="A642" s="0" t="s">
        <v>252</v>
      </c>
      <c r="B642" s="72"/>
      <c r="C642" s="71" t="n">
        <f aca="false">Calculos!$C$639-Calculos!$C$640-Calculos!$C$641</f>
        <v>21968569.0752</v>
      </c>
      <c r="D642" s="71" t="n">
        <f aca="false">Calculos!$D$639-Calculos!$D$640-Calculos!$D$641</f>
        <v>52677978.4368384</v>
      </c>
      <c r="E642" s="71" t="n">
        <f aca="false">Calculos!$E$639-Calculos!$E$640-Calculos!$E$641</f>
        <v>85210180.6480074</v>
      </c>
      <c r="F642" s="71" t="n">
        <f aca="false">Calculos!$F$639-Calculos!$F$640-Calculos!$F$641</f>
        <v>119646904.811253</v>
      </c>
      <c r="G642" s="71" t="n">
        <f aca="false">Calculos!$G$639-Calculos!$G$640-Calculos!$G$641</f>
        <v>139654727.608651</v>
      </c>
    </row>
    <row r="643" customFormat="false" ht="12.8" hidden="false" customHeight="false" outlineLevel="0" collapsed="false">
      <c r="A643" s="0" t="s">
        <v>253</v>
      </c>
      <c r="B643" s="72"/>
      <c r="C643" s="71" t="n">
        <f aca="false">Calculos!$B$630</f>
        <v>5092306.7775</v>
      </c>
      <c r="D643" s="71" t="n">
        <f aca="false">Calculos!$B$630</f>
        <v>5092306.7775</v>
      </c>
      <c r="E643" s="71" t="n">
        <f aca="false">Calculos!$B$630</f>
        <v>5092306.7775</v>
      </c>
      <c r="F643" s="71" t="n">
        <f aca="false">Calculos!$B$630</f>
        <v>5092306.7775</v>
      </c>
      <c r="G643" s="71" t="n">
        <f aca="false">Calculos!$B$630</f>
        <v>5092306.7775</v>
      </c>
    </row>
    <row r="644" customFormat="false" ht="12.8" hidden="false" customHeight="false" outlineLevel="0" collapsed="false">
      <c r="A644" s="0" t="s">
        <v>254</v>
      </c>
      <c r="B644" s="72"/>
      <c r="C644" s="71" t="n">
        <f aca="false">Calculos!$C$642-Calculos!$C$643</f>
        <v>16876262.2977</v>
      </c>
      <c r="D644" s="71" t="n">
        <f aca="false">Calculos!$D$642-Calculos!$D$643</f>
        <v>47585671.6593384</v>
      </c>
      <c r="E644" s="71" t="n">
        <f aca="false">Calculos!$E$642-Calculos!$E$643</f>
        <v>80117873.8705074</v>
      </c>
      <c r="F644" s="71" t="n">
        <f aca="false">Calculos!$F$642-Calculos!$F$643</f>
        <v>114554598.033753</v>
      </c>
      <c r="G644" s="71" t="n">
        <f aca="false">Calculos!$G$642-Calculos!$G$643</f>
        <v>134562420.831151</v>
      </c>
    </row>
    <row r="645" customFormat="false" ht="12.8" hidden="false" customHeight="false" outlineLevel="0" collapsed="false">
      <c r="A645" s="0" t="s">
        <v>255</v>
      </c>
      <c r="B645" s="72"/>
      <c r="C645" s="72" t="n">
        <f aca="false">0</f>
        <v>0</v>
      </c>
      <c r="D645" s="72" t="n">
        <f aca="false">Calculos!$C$648</f>
        <v>0</v>
      </c>
      <c r="E645" s="72" t="n">
        <f aca="false">Calculos!$D$648</f>
        <v>0</v>
      </c>
      <c r="F645" s="72" t="n">
        <f aca="false">Calculos!$E$648</f>
        <v>0</v>
      </c>
      <c r="G645" s="72" t="n">
        <f aca="false">Calculos!$F$648</f>
        <v>0</v>
      </c>
    </row>
    <row r="646" customFormat="false" ht="12.8" hidden="false" customHeight="false" outlineLevel="0" collapsed="false">
      <c r="A646" s="0" t="s">
        <v>256</v>
      </c>
      <c r="B646" s="72"/>
      <c r="C646" s="72" t="n">
        <f aca="false">MAX(0,Calculos!$C$644-Calculos!$C$645)</f>
        <v>16876262.2977</v>
      </c>
      <c r="D646" s="72" t="n">
        <f aca="false">MAX(0,Calculos!$D$644-Calculos!$D$645)</f>
        <v>47585671.6593384</v>
      </c>
      <c r="E646" s="72" t="n">
        <f aca="false">MAX(0,Calculos!$E$644-Calculos!$E$645)</f>
        <v>80117873.8705074</v>
      </c>
      <c r="F646" s="72" t="n">
        <f aca="false">MAX(0,Calculos!$F$644-Calculos!$F$645)</f>
        <v>114554598.033753</v>
      </c>
      <c r="G646" s="72" t="n">
        <f aca="false">MAX(0,Calculos!$G$644-Calculos!$G$645)</f>
        <v>134562420.831151</v>
      </c>
    </row>
    <row r="647" customFormat="false" ht="12.8" hidden="false" customHeight="false" outlineLevel="0" collapsed="false">
      <c r="A647" s="0" t="s">
        <v>257</v>
      </c>
      <c r="B647" s="72"/>
      <c r="C647" s="72" t="n">
        <f aca="false">Calculos!$C$646*Inputs!$C$19</f>
        <v>2109532.7872125</v>
      </c>
      <c r="D647" s="72" t="n">
        <f aca="false">Calculos!$D$646*Inputs!$C$20</f>
        <v>7137850.74890077</v>
      </c>
      <c r="E647" s="72" t="n">
        <f aca="false">Calculos!$E$646*Inputs!$C$21</f>
        <v>20029468.4676269</v>
      </c>
      <c r="F647" s="72" t="n">
        <f aca="false">Calculos!$F$646*Inputs!$C$22</f>
        <v>28638649.5084384</v>
      </c>
      <c r="G647" s="72" t="n">
        <f aca="false">Calculos!$G$646*Inputs!$C$23</f>
        <v>33640605.2077878</v>
      </c>
    </row>
    <row r="648" customFormat="false" ht="12.8" hidden="false" customHeight="false" outlineLevel="0" collapsed="false">
      <c r="A648" s="0" t="s">
        <v>258</v>
      </c>
      <c r="B648" s="72"/>
      <c r="C648" s="72" t="n">
        <f aca="false">MAX(0,Calculos!$C$645-Calculos!$C$644)</f>
        <v>0</v>
      </c>
      <c r="D648" s="72" t="n">
        <f aca="false">MAX(0,Calculos!$D$645-Calculos!$D$644)</f>
        <v>0</v>
      </c>
      <c r="E648" s="72" t="n">
        <f aca="false">MAX(0,Calculos!$E$645-Calculos!$E$644)</f>
        <v>0</v>
      </c>
      <c r="F648" s="72" t="n">
        <f aca="false">MAX(0,Calculos!$F$645-Calculos!$F$644)</f>
        <v>0</v>
      </c>
      <c r="G648" s="72" t="n">
        <f aca="false">MAX(0,Calculos!$G$645-Calculos!$G$644)</f>
        <v>0</v>
      </c>
    </row>
    <row r="649" customFormat="false" ht="12.8" hidden="false" customHeight="false" outlineLevel="0" collapsed="false">
      <c r="A649" s="0" t="s">
        <v>259</v>
      </c>
      <c r="B649" s="72"/>
      <c r="C649" s="71" t="n">
        <f aca="false">Calculos!$C$639*Inputs!$C$48/365+Calculos!$C$640*Inputs!$C$49/365-Calculos!$C$640*Inputs!$C$50/365</f>
        <v>18122919.9338959</v>
      </c>
      <c r="D649" s="71" t="n">
        <f aca="false">Calculos!$D$639*Inputs!$C$48/365+Calculos!$D$640*Inputs!$C$49/365-Calculos!$D$640*Inputs!$C$50/365</f>
        <v>26133250.5446779</v>
      </c>
      <c r="E649" s="71" t="n">
        <f aca="false">Calculos!$E$639*Inputs!$C$48/365+Calculos!$E$640*Inputs!$C$49/365-Calculos!$E$640*Inputs!$C$50/365</f>
        <v>34607890.3641663</v>
      </c>
      <c r="F649" s="71" t="n">
        <f aca="false">Calculos!$F$639*Inputs!$C$48/365+Calculos!$F$640*Inputs!$C$49/365-Calculos!$F$640*Inputs!$C$50/365</f>
        <v>43567488.6473338</v>
      </c>
      <c r="G649" s="71" t="n">
        <f aca="false">Calculos!$G$639*Inputs!$C$48/365+Calculos!$G$640*Inputs!$C$49/365-Calculos!$G$640*Inputs!$C$50/365</f>
        <v>48954014.5164587</v>
      </c>
    </row>
    <row r="650" customFormat="false" ht="12.8" hidden="false" customHeight="false" outlineLevel="0" collapsed="false">
      <c r="A650" s="0" t="s">
        <v>260</v>
      </c>
      <c r="B650" s="72"/>
      <c r="C650" s="71" t="n">
        <f aca="false">Calculos!$C$649-Calculos!$C$649</f>
        <v>0</v>
      </c>
      <c r="D650" s="71" t="n">
        <f aca="false">Calculos!$D$649-Calculos!$C$649</f>
        <v>8010330.61078199</v>
      </c>
      <c r="E650" s="71" t="n">
        <f aca="false">Calculos!$E$649-Calculos!$D$649</f>
        <v>8474639.81948839</v>
      </c>
      <c r="F650" s="71" t="n">
        <f aca="false">Calculos!$F$649-Calculos!$E$649</f>
        <v>8959598.2831675</v>
      </c>
      <c r="G650" s="71" t="n">
        <f aca="false">Calculos!$G$649-Calculos!$F$649</f>
        <v>5386525.8691249</v>
      </c>
    </row>
    <row r="651" customFormat="false" ht="12.8" hidden="false" customHeight="false" outlineLevel="0" collapsed="false">
      <c r="A651" s="0" t="s">
        <v>261</v>
      </c>
      <c r="B651" s="72"/>
      <c r="C651" s="72" t="n">
        <f aca="false">0</f>
        <v>0</v>
      </c>
      <c r="D651" s="72" t="n">
        <f aca="false">0</f>
        <v>0</v>
      </c>
      <c r="E651" s="72" t="n">
        <f aca="false">0</f>
        <v>0</v>
      </c>
      <c r="F651" s="72" t="n">
        <f aca="false">0</f>
        <v>0</v>
      </c>
      <c r="G651" s="71" t="n">
        <f aca="false">Calculos!$B$631*(1-Inputs!$C$23)+Calculos!$G$649+Calculos!$B$632</f>
        <v>52383069.5580212</v>
      </c>
    </row>
    <row r="652" customFormat="false" ht="12.8" hidden="false" customHeight="false" outlineLevel="0" collapsed="false">
      <c r="A652" s="0" t="s">
        <v>262</v>
      </c>
      <c r="B652" s="71" t="n">
        <f aca="false">-(Calculos!$B$629+Calculos!$B$632+Calculos!$C$649)</f>
        <v>-47603893.8213959</v>
      </c>
      <c r="C652" s="71" t="n">
        <f aca="false">Calculos!$C$642-Calculos!$C$647-Calculos!$C$650+Calculos!$C$651</f>
        <v>19859036.2879875</v>
      </c>
      <c r="D652" s="71" t="n">
        <f aca="false">Calculos!$D$642-Calculos!$D$647-Calculos!$D$650+Calculos!$D$651</f>
        <v>37529797.0771557</v>
      </c>
      <c r="E652" s="71" t="n">
        <f aca="false">Calculos!$E$642-Calculos!$E$647-Calculos!$E$650+Calculos!$E$651</f>
        <v>56706072.3608922</v>
      </c>
      <c r="F652" s="71" t="n">
        <f aca="false">Calculos!$F$642-Calculos!$F$647-Calculos!$F$650+Calculos!$F$651</f>
        <v>82048657.0196476</v>
      </c>
      <c r="G652" s="71" t="n">
        <f aca="false">Calculos!$G$642-Calculos!$G$647-Calculos!$G$650+Calculos!$G$651</f>
        <v>153010666.08976</v>
      </c>
    </row>
    <row r="653" customFormat="false" ht="12.8" hidden="false" customHeight="false" outlineLevel="0" collapsed="false">
      <c r="A653" s="0" t="s">
        <v>263</v>
      </c>
      <c r="B653" s="72" t="n">
        <v>1</v>
      </c>
      <c r="C653" s="72" t="n">
        <f aca="false">1/(1+Inputs!$C$7)^1</f>
        <v>0.869565217391304</v>
      </c>
      <c r="D653" s="72" t="n">
        <f aca="false">1/(1+Inputs!$C$7)^2</f>
        <v>0.756143667296787</v>
      </c>
      <c r="E653" s="72" t="n">
        <f aca="false">1/(1+Inputs!$C$7)^3</f>
        <v>0.657516232431988</v>
      </c>
      <c r="F653" s="72" t="n">
        <f aca="false">1/(1+Inputs!$C$7)^4</f>
        <v>0.571753245593033</v>
      </c>
      <c r="G653" s="72" t="n">
        <f aca="false">1/(1+Inputs!$C$7)^5</f>
        <v>0.49717673529829</v>
      </c>
    </row>
    <row r="654" customFormat="false" ht="12.8" hidden="false" customHeight="false" outlineLevel="0" collapsed="false">
      <c r="A654" s="0" t="s">
        <v>264</v>
      </c>
      <c r="B654" s="71" t="n">
        <f aca="false">Calculos!$B$652</f>
        <v>-47603893.8213959</v>
      </c>
      <c r="C654" s="71" t="n">
        <f aca="false">Calculos!$C$652*Calculos!$C$653</f>
        <v>17268727.2069457</v>
      </c>
      <c r="D654" s="71" t="n">
        <f aca="false">Calculos!$D$652*Calculos!$D$653</f>
        <v>28377918.3948247</v>
      </c>
      <c r="E654" s="71" t="n">
        <f aca="false">Calculos!$E$652*Calculos!$E$653</f>
        <v>37285163.0547495</v>
      </c>
      <c r="F654" s="71" t="n">
        <f aca="false">Calculos!$F$652*Calculos!$F$653</f>
        <v>46911585.9475331</v>
      </c>
      <c r="G654" s="71" t="n">
        <f aca="false">Calculos!$G$652*Calculos!$G$653</f>
        <v>76073343.4323234</v>
      </c>
    </row>
    <row r="655" customFormat="false" ht="12.8" hidden="false" customHeight="false" outlineLevel="0" collapsed="false">
      <c r="A655" s="0" t="s">
        <v>265</v>
      </c>
      <c r="B655" s="71" t="n">
        <f aca="false">Calculos!$B$652</f>
        <v>-47603893.8213959</v>
      </c>
      <c r="C655" s="71" t="n">
        <f aca="false">Calculos!$B$655+Calculos!$C$652</f>
        <v>-27744857.5334084</v>
      </c>
      <c r="D655" s="71" t="n">
        <f aca="false">Calculos!$C$655+Calculos!$D$652</f>
        <v>9784939.5437473</v>
      </c>
      <c r="E655" s="71" t="n">
        <f aca="false">Calculos!$D$655+Calculos!$E$652</f>
        <v>66491011.9046395</v>
      </c>
      <c r="F655" s="71" t="n">
        <f aca="false">Calculos!$E$655+Calculos!$F$652</f>
        <v>148539668.924287</v>
      </c>
      <c r="G655" s="71" t="n">
        <f aca="false">Calculos!$F$655+Calculos!$G$652</f>
        <v>301550335.014047</v>
      </c>
    </row>
    <row r="656" customFormat="false" ht="12.8" hidden="false" customHeight="false" outlineLevel="0" collapsed="false">
      <c r="A656" s="0" t="s">
        <v>266</v>
      </c>
      <c r="B656" s="71" t="n">
        <f aca="false">Calculos!$B$654</f>
        <v>-47603893.8213959</v>
      </c>
      <c r="C656" s="71" t="n">
        <f aca="false">Calculos!$B$656+Calculos!$C$654</f>
        <v>-30335166.6144502</v>
      </c>
      <c r="D656" s="71" t="n">
        <f aca="false">Calculos!$C$656+Calculos!$D$654</f>
        <v>-1957248.21962552</v>
      </c>
      <c r="E656" s="71" t="n">
        <f aca="false">Calculos!$D$656+Calculos!$E$654</f>
        <v>35327914.835124</v>
      </c>
      <c r="F656" s="71" t="n">
        <f aca="false">Calculos!$E$656+Calculos!$F$654</f>
        <v>82239500.7826572</v>
      </c>
      <c r="G656" s="71" t="n">
        <f aca="false">Calculos!$F$656+Calculos!$G$654</f>
        <v>158312844.214981</v>
      </c>
    </row>
    <row r="658" customFormat="false" ht="12.8" hidden="false" customHeight="false" outlineLevel="0" collapsed="false">
      <c r="A658" s="0" t="s">
        <v>3</v>
      </c>
      <c r="B658" s="72" t="n">
        <f aca="false">-Calculos!$B$652</f>
        <v>47603893.8213959</v>
      </c>
    </row>
    <row r="659" customFormat="false" ht="12.8" hidden="false" customHeight="false" outlineLevel="0" collapsed="false">
      <c r="A659" s="0" t="s">
        <v>7</v>
      </c>
      <c r="B659" s="71" t="n">
        <f aca="false">SUM(Calculos!$B$654:$G$654)</f>
        <v>158312844.214981</v>
      </c>
    </row>
    <row r="660" customFormat="false" ht="12.8" hidden="false" customHeight="false" outlineLevel="0" collapsed="false">
      <c r="A660" s="0" t="s">
        <v>9</v>
      </c>
      <c r="B660" s="73" t="n">
        <f aca="false">IFERROR(IRR(Calculos!$B$652:$G$652),-1)</f>
        <v>0.808740562712746</v>
      </c>
    </row>
    <row r="661" customFormat="false" ht="12.8" hidden="false" customHeight="false" outlineLevel="0" collapsed="false">
      <c r="A661" s="0" t="s">
        <v>10</v>
      </c>
      <c r="B661" s="0" t="n">
        <f aca="false">IFERROR(IF(Calculos!$C$656&gt;=0,0+(-Calculos!$B$656/Calculos!$C$654),IF(Calculos!$D$656&gt;=0,1+(-Calculos!$C$656/Calculos!$D$654),IF(Calculos!$E$656&gt;=0,2+(-Calculos!$D$656/Calculos!$E$654),IF(Calculos!$F$656&gt;=0,3+(-Calculos!$E$656/Calculos!$F$654),IF(Calculos!$G$656&gt;=0,4+(-Calculos!$F$656/Calculos!$G$654),NA()))))),99)</f>
        <v>2.05249402333983</v>
      </c>
    </row>
    <row r="662" customFormat="false" ht="12.8" hidden="false" customHeight="false" outlineLevel="0" collapsed="false">
      <c r="A662" s="0" t="s">
        <v>12</v>
      </c>
      <c r="B662" s="0" t="n">
        <f aca="false">(Calculos!$C$654+Calculos!$D$654+Calculos!$E$654+Calculos!$F$654+Calculos!$G$654)/(-Calculos!$B$652)</f>
        <v>4.32562804229737</v>
      </c>
    </row>
    <row r="663" customFormat="false" ht="12.8" hidden="false" customHeight="false" outlineLevel="0" collapsed="false">
      <c r="A663" s="0" t="s">
        <v>5</v>
      </c>
      <c r="B663" s="71" t="n">
        <f aca="false">-MIN(Calculos!$B$655:$G$655)</f>
        <v>47603893.8213959</v>
      </c>
    </row>
    <row r="664" customFormat="false" ht="12.8" hidden="false" customHeight="false" outlineLevel="0" collapsed="false">
      <c r="A664" s="0" t="s">
        <v>13</v>
      </c>
      <c r="B664" s="0" t="n">
        <f aca="false">IF((Calculos!$C$637-Calculos!$C$638)&gt;0,Calculos!$C$641/(Calculos!$C$637-Calculos!$C$638)/12,NA())</f>
        <v>2096.41154567958</v>
      </c>
    </row>
  </sheetData>
  <mergeCells count="15">
    <mergeCell ref="A1:G1"/>
    <mergeCell ref="A2:G2"/>
    <mergeCell ref="A4:G4"/>
    <mergeCell ref="A55:G55"/>
    <mergeCell ref="A106:G106"/>
    <mergeCell ref="A157:G157"/>
    <mergeCell ref="A208:G208"/>
    <mergeCell ref="A259:G259"/>
    <mergeCell ref="A310:G310"/>
    <mergeCell ref="A361:G361"/>
    <mergeCell ref="A412:G412"/>
    <mergeCell ref="A463:G463"/>
    <mergeCell ref="A514:G514"/>
    <mergeCell ref="A565:G565"/>
    <mergeCell ref="A616:G6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2026-08-04T23:17:47Z</dcterms:created>
  <dc:creator>Dossier evaluación pizzería</dc:creator>
  <dc:description/>
  <dc:language>en-US</dc:language>
  <cp:lastModifiedBy/>
  <dcterms:modified xsi:type="dcterms:W3CDTF">2026-08-04T23:18:45Z</dcterms:modified>
  <cp:revision>1</cp:revision>
  <dc:subject>Modelo financiero editable VAN, TIR y flujo de caja</dc:subject>
  <dc:title>Evaluación económica pizzería B2B</dc:title>
</cp:coreProperties>
</file>